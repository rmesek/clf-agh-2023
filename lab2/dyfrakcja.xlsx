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robert\Desktop\Fizyka\lab2\"/>
    </mc:Choice>
  </mc:AlternateContent>
  <xr:revisionPtr revIDLastSave="0" documentId="13_ncr:1_{0E85455A-893A-4C95-B3A8-B674617C9CBA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7" i="1" l="1"/>
  <c r="K57" i="1"/>
  <c r="K55" i="1"/>
  <c r="K56" i="1"/>
  <c r="K54" i="1"/>
  <c r="P55" i="1"/>
  <c r="P54" i="1"/>
  <c r="J60" i="1"/>
  <c r="I60" i="1"/>
  <c r="I55" i="1"/>
  <c r="I56" i="1"/>
  <c r="J4" i="1"/>
  <c r="I54" i="1"/>
  <c r="I4" i="1"/>
  <c r="Q54" i="1" l="1"/>
  <c r="J55" i="1"/>
  <c r="J56" i="1"/>
  <c r="Q55" i="1"/>
  <c r="Q56" i="1" s="1"/>
  <c r="J54" i="1"/>
  <c r="J57" i="1" s="1"/>
</calcChain>
</file>

<file path=xl/sharedStrings.xml><?xml version="1.0" encoding="utf-8"?>
<sst xmlns="http://schemas.openxmlformats.org/spreadsheetml/2006/main" count="42" uniqueCount="31">
  <si>
    <t>x [mm]</t>
  </si>
  <si>
    <t>J [j. u.]</t>
  </si>
  <si>
    <t>Pojedyńcza szczelina</t>
  </si>
  <si>
    <t>Podwója szczelina</t>
  </si>
  <si>
    <t>Dokładność fotodiody [j.u.]</t>
  </si>
  <si>
    <t>?</t>
  </si>
  <si>
    <t>Szerekość [um]</t>
  </si>
  <si>
    <t>Przerwa [um]</t>
  </si>
  <si>
    <t>Odległość od lasera do szczeliny [mm]</t>
  </si>
  <si>
    <t>Odległość od lasera do fotodiody [mm]</t>
  </si>
  <si>
    <t>Dokładność śruby [mm]</t>
  </si>
  <si>
    <t>Długość fali [nm]</t>
  </si>
  <si>
    <t>Odległość L [mm]</t>
  </si>
  <si>
    <t>Element obrazu dyfrakcyjnego</t>
  </si>
  <si>
    <t>Położenie z lewej x_l [mm]</t>
  </si>
  <si>
    <t>Położenie z prawej x_p [mm]</t>
  </si>
  <si>
    <t>x = [mm]</t>
  </si>
  <si>
    <t>Natężenie z lewej I_l [j.u.]</t>
  </si>
  <si>
    <t>Natężenie z prawej I_p [j.u.]</t>
  </si>
  <si>
    <t>Natężenie względne doświadczalne</t>
  </si>
  <si>
    <t>Natężenie względne teoretyczne</t>
  </si>
  <si>
    <t>1 minimum</t>
  </si>
  <si>
    <t>2 maksimum boczne</t>
  </si>
  <si>
    <t>2 minimum</t>
  </si>
  <si>
    <t>1 maksimum boczne</t>
  </si>
  <si>
    <t>Numer maksimum (m)</t>
  </si>
  <si>
    <t>Długość fali [mm]</t>
  </si>
  <si>
    <t>Obliczona szerokość szczeliny a [mm]</t>
  </si>
  <si>
    <t>Średnie a</t>
  </si>
  <si>
    <t>(a - avg(a) )^2</t>
  </si>
  <si>
    <t>u(a)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</si>
</sst>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72" formatCode="0.000"/>
    <numFmt numFmtId="181" formatCode="0.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72" fontId="0" fillId="2" borderId="1" xfId="0" applyNumberFormat="1" applyFill="1" applyBorder="1"/>
    <xf numFmtId="181" fontId="0" fillId="2" borderId="1" xfId="0" applyNumberFormat="1" applyFill="1" applyBorder="1"/>
    <xf numFmtId="181" fontId="0" fillId="2" borderId="2" xfId="0" applyNumberFormat="1" applyFill="1" applyBorder="1"/>
    <xf numFmtId="172" fontId="0" fillId="3" borderId="1" xfId="0" applyNumberFormat="1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Pojedyńcza szczelina</a:t>
            </a:r>
            <a:r>
              <a:rPr lang="pl-PL"/>
              <a:t> (skala</a:t>
            </a:r>
            <a:r>
              <a:rPr lang="pl-PL" baseline="0"/>
              <a:t> liniowa)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Pojedyńcza szczelina</c:v>
                </c:pt>
                <c:pt idx="1">
                  <c:v>J [j. u.]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Sheet1!$A$3:$A$59</c:f>
              <c:numCache>
                <c:formatCode>0.0</c:formatCode>
                <c:ptCount val="57"/>
                <c:pt idx="0">
                  <c:v>-5.6</c:v>
                </c:pt>
                <c:pt idx="1">
                  <c:v>-5.4</c:v>
                </c:pt>
                <c:pt idx="2">
                  <c:v>-5.2</c:v>
                </c:pt>
                <c:pt idx="3">
                  <c:v>-5</c:v>
                </c:pt>
                <c:pt idx="4">
                  <c:v>-4.8</c:v>
                </c:pt>
                <c:pt idx="5">
                  <c:v>-4.5999999999999996</c:v>
                </c:pt>
                <c:pt idx="6">
                  <c:v>-4.4000000000000004</c:v>
                </c:pt>
                <c:pt idx="7">
                  <c:v>-4.2</c:v>
                </c:pt>
                <c:pt idx="8">
                  <c:v>-4</c:v>
                </c:pt>
                <c:pt idx="9">
                  <c:v>-3.8</c:v>
                </c:pt>
                <c:pt idx="10">
                  <c:v>-3.6</c:v>
                </c:pt>
                <c:pt idx="11">
                  <c:v>-3.4</c:v>
                </c:pt>
                <c:pt idx="12">
                  <c:v>-3.2</c:v>
                </c:pt>
                <c:pt idx="13">
                  <c:v>-3</c:v>
                </c:pt>
                <c:pt idx="14">
                  <c:v>-2.8</c:v>
                </c:pt>
                <c:pt idx="15">
                  <c:v>-2.6</c:v>
                </c:pt>
                <c:pt idx="16">
                  <c:v>-2.4</c:v>
                </c:pt>
                <c:pt idx="17">
                  <c:v>-2.2000000000000002</c:v>
                </c:pt>
                <c:pt idx="18">
                  <c:v>-2</c:v>
                </c:pt>
                <c:pt idx="19">
                  <c:v>-1.8</c:v>
                </c:pt>
                <c:pt idx="20">
                  <c:v>-1.6</c:v>
                </c:pt>
                <c:pt idx="21">
                  <c:v>-1.4</c:v>
                </c:pt>
                <c:pt idx="22">
                  <c:v>-1.2</c:v>
                </c:pt>
                <c:pt idx="23">
                  <c:v>-1</c:v>
                </c:pt>
                <c:pt idx="24">
                  <c:v>-0.8</c:v>
                </c:pt>
                <c:pt idx="25">
                  <c:v>-0.6</c:v>
                </c:pt>
                <c:pt idx="26">
                  <c:v>-0.4</c:v>
                </c:pt>
                <c:pt idx="27">
                  <c:v>-0.2</c:v>
                </c:pt>
                <c:pt idx="28">
                  <c:v>0</c:v>
                </c:pt>
                <c:pt idx="29">
                  <c:v>0.2</c:v>
                </c:pt>
                <c:pt idx="30">
                  <c:v>0.4</c:v>
                </c:pt>
                <c:pt idx="31">
                  <c:v>0.6</c:v>
                </c:pt>
                <c:pt idx="32">
                  <c:v>0.8</c:v>
                </c:pt>
                <c:pt idx="33">
                  <c:v>1</c:v>
                </c:pt>
                <c:pt idx="34">
                  <c:v>1.2</c:v>
                </c:pt>
                <c:pt idx="35">
                  <c:v>1.4</c:v>
                </c:pt>
                <c:pt idx="36">
                  <c:v>1.6</c:v>
                </c:pt>
                <c:pt idx="37">
                  <c:v>1.8</c:v>
                </c:pt>
                <c:pt idx="38">
                  <c:v>2</c:v>
                </c:pt>
                <c:pt idx="39">
                  <c:v>2.2000000000000002</c:v>
                </c:pt>
                <c:pt idx="40">
                  <c:v>2.4</c:v>
                </c:pt>
                <c:pt idx="41">
                  <c:v>2.6</c:v>
                </c:pt>
                <c:pt idx="42">
                  <c:v>2.8</c:v>
                </c:pt>
                <c:pt idx="43">
                  <c:v>3</c:v>
                </c:pt>
                <c:pt idx="44">
                  <c:v>3.2</c:v>
                </c:pt>
                <c:pt idx="45">
                  <c:v>3.4</c:v>
                </c:pt>
                <c:pt idx="46">
                  <c:v>3.6</c:v>
                </c:pt>
                <c:pt idx="47">
                  <c:v>3.8</c:v>
                </c:pt>
                <c:pt idx="48">
                  <c:v>4</c:v>
                </c:pt>
                <c:pt idx="49">
                  <c:v>4.2</c:v>
                </c:pt>
                <c:pt idx="50">
                  <c:v>4.4000000000000004</c:v>
                </c:pt>
                <c:pt idx="51">
                  <c:v>4.5999999999999996</c:v>
                </c:pt>
                <c:pt idx="52">
                  <c:v>4.8</c:v>
                </c:pt>
                <c:pt idx="53">
                  <c:v>5</c:v>
                </c:pt>
                <c:pt idx="54">
                  <c:v>5.2</c:v>
                </c:pt>
                <c:pt idx="55">
                  <c:v>5.4</c:v>
                </c:pt>
                <c:pt idx="56">
                  <c:v>5.6</c:v>
                </c:pt>
              </c:numCache>
            </c:numRef>
          </c:xVal>
          <c:yVal>
            <c:numRef>
              <c:f>Sheet1!$B$3:$B$59</c:f>
              <c:numCache>
                <c:formatCode>0.0</c:formatCode>
                <c:ptCount val="57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0.9</c:v>
                </c:pt>
                <c:pt idx="7">
                  <c:v>1.3</c:v>
                </c:pt>
                <c:pt idx="8">
                  <c:v>1.8</c:v>
                </c:pt>
                <c:pt idx="9">
                  <c:v>2.1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1.9</c:v>
                </c:pt>
                <c:pt idx="13">
                  <c:v>1.4</c:v>
                </c:pt>
                <c:pt idx="14">
                  <c:v>0.9</c:v>
                </c:pt>
                <c:pt idx="15">
                  <c:v>0.7</c:v>
                </c:pt>
                <c:pt idx="16">
                  <c:v>0.9</c:v>
                </c:pt>
                <c:pt idx="17">
                  <c:v>1.6</c:v>
                </c:pt>
                <c:pt idx="18">
                  <c:v>3.5</c:v>
                </c:pt>
                <c:pt idx="19">
                  <c:v>6.4</c:v>
                </c:pt>
                <c:pt idx="20">
                  <c:v>10.6</c:v>
                </c:pt>
                <c:pt idx="21">
                  <c:v>15.8</c:v>
                </c:pt>
                <c:pt idx="22">
                  <c:v>21.6</c:v>
                </c:pt>
                <c:pt idx="23">
                  <c:v>28</c:v>
                </c:pt>
                <c:pt idx="24">
                  <c:v>34.299999999999997</c:v>
                </c:pt>
                <c:pt idx="25">
                  <c:v>40.200000000000003</c:v>
                </c:pt>
                <c:pt idx="26">
                  <c:v>45</c:v>
                </c:pt>
                <c:pt idx="27">
                  <c:v>48</c:v>
                </c:pt>
                <c:pt idx="28">
                  <c:v>49.6</c:v>
                </c:pt>
                <c:pt idx="29">
                  <c:v>49.4</c:v>
                </c:pt>
                <c:pt idx="30">
                  <c:v>46.9</c:v>
                </c:pt>
                <c:pt idx="31">
                  <c:v>43.6</c:v>
                </c:pt>
                <c:pt idx="32">
                  <c:v>38.6</c:v>
                </c:pt>
                <c:pt idx="33">
                  <c:v>32.200000000000003</c:v>
                </c:pt>
                <c:pt idx="34">
                  <c:v>25.7</c:v>
                </c:pt>
                <c:pt idx="35">
                  <c:v>19.100000000000001</c:v>
                </c:pt>
                <c:pt idx="36">
                  <c:v>13.4</c:v>
                </c:pt>
                <c:pt idx="37">
                  <c:v>8.9</c:v>
                </c:pt>
                <c:pt idx="38">
                  <c:v>5.3</c:v>
                </c:pt>
                <c:pt idx="39">
                  <c:v>2.5</c:v>
                </c:pt>
                <c:pt idx="40">
                  <c:v>1</c:v>
                </c:pt>
                <c:pt idx="41">
                  <c:v>0.5</c:v>
                </c:pt>
                <c:pt idx="42">
                  <c:v>0.5</c:v>
                </c:pt>
                <c:pt idx="43">
                  <c:v>0.9</c:v>
                </c:pt>
                <c:pt idx="44">
                  <c:v>1.4</c:v>
                </c:pt>
                <c:pt idx="45">
                  <c:v>1.9</c:v>
                </c:pt>
                <c:pt idx="46">
                  <c:v>2.1</c:v>
                </c:pt>
                <c:pt idx="47">
                  <c:v>2.1</c:v>
                </c:pt>
                <c:pt idx="48">
                  <c:v>1.9</c:v>
                </c:pt>
                <c:pt idx="49">
                  <c:v>1.5</c:v>
                </c:pt>
                <c:pt idx="50">
                  <c:v>1</c:v>
                </c:pt>
                <c:pt idx="51">
                  <c:v>0.6</c:v>
                </c:pt>
                <c:pt idx="52">
                  <c:v>0.3</c:v>
                </c:pt>
                <c:pt idx="53">
                  <c:v>0.2</c:v>
                </c:pt>
                <c:pt idx="54">
                  <c:v>0.1</c:v>
                </c:pt>
                <c:pt idx="55">
                  <c:v>0.2</c:v>
                </c:pt>
                <c:pt idx="56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1-4965-BB4E-344C901F4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269136"/>
        <c:axId val="894420336"/>
      </c:scatterChart>
      <c:valAx>
        <c:axId val="1090269136"/>
        <c:scaling>
          <c:orientation val="minMax"/>
          <c:max val="6"/>
          <c:min val="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894420336"/>
        <c:crosses val="autoZero"/>
        <c:crossBetween val="midCat"/>
        <c:majorUnit val="0.4"/>
        <c:minorUnit val="0.2"/>
      </c:valAx>
      <c:valAx>
        <c:axId val="8944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Natężenie</a:t>
                </a:r>
                <a:r>
                  <a:rPr lang="pl-PL" baseline="0"/>
                  <a:t> światła</a:t>
                </a:r>
                <a:r>
                  <a:rPr lang="pl-PL"/>
                  <a:t> [j.u.]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09026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Podwója szczelina</a:t>
            </a:r>
            <a:r>
              <a:rPr lang="pl-PL"/>
              <a:t> (skala liniowa)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Podwója szczelina</c:v>
                </c:pt>
                <c:pt idx="1">
                  <c:v>J [j. u.]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Sheet1!$C$3:$C$59</c:f>
              <c:numCache>
                <c:formatCode>0.0</c:formatCode>
                <c:ptCount val="57"/>
                <c:pt idx="0">
                  <c:v>-5.6</c:v>
                </c:pt>
                <c:pt idx="1">
                  <c:v>-5.4</c:v>
                </c:pt>
                <c:pt idx="2">
                  <c:v>-5.2</c:v>
                </c:pt>
                <c:pt idx="3">
                  <c:v>-5</c:v>
                </c:pt>
                <c:pt idx="4">
                  <c:v>-4.8</c:v>
                </c:pt>
                <c:pt idx="5">
                  <c:v>-4.5999999999999996</c:v>
                </c:pt>
                <c:pt idx="6">
                  <c:v>-4.4000000000000004</c:v>
                </c:pt>
                <c:pt idx="7">
                  <c:v>-4.2</c:v>
                </c:pt>
                <c:pt idx="8">
                  <c:v>-4</c:v>
                </c:pt>
                <c:pt idx="9">
                  <c:v>-3.8</c:v>
                </c:pt>
                <c:pt idx="10">
                  <c:v>-3.6</c:v>
                </c:pt>
                <c:pt idx="11">
                  <c:v>-3.4</c:v>
                </c:pt>
                <c:pt idx="12">
                  <c:v>-3.2</c:v>
                </c:pt>
                <c:pt idx="13">
                  <c:v>-3</c:v>
                </c:pt>
                <c:pt idx="14">
                  <c:v>-2.8</c:v>
                </c:pt>
                <c:pt idx="15">
                  <c:v>-2.6</c:v>
                </c:pt>
                <c:pt idx="16">
                  <c:v>-2.4</c:v>
                </c:pt>
                <c:pt idx="17">
                  <c:v>-2.2000000000000002</c:v>
                </c:pt>
                <c:pt idx="18">
                  <c:v>-2</c:v>
                </c:pt>
                <c:pt idx="19">
                  <c:v>-1.8</c:v>
                </c:pt>
                <c:pt idx="20">
                  <c:v>-1.6</c:v>
                </c:pt>
                <c:pt idx="21">
                  <c:v>-1.4</c:v>
                </c:pt>
                <c:pt idx="22">
                  <c:v>-1.2</c:v>
                </c:pt>
                <c:pt idx="23">
                  <c:v>-1</c:v>
                </c:pt>
                <c:pt idx="24">
                  <c:v>-0.8</c:v>
                </c:pt>
                <c:pt idx="25">
                  <c:v>-0.6</c:v>
                </c:pt>
                <c:pt idx="26">
                  <c:v>-0.4</c:v>
                </c:pt>
                <c:pt idx="27">
                  <c:v>-0.2</c:v>
                </c:pt>
                <c:pt idx="28">
                  <c:v>0</c:v>
                </c:pt>
                <c:pt idx="29">
                  <c:v>0.2</c:v>
                </c:pt>
                <c:pt idx="30">
                  <c:v>0.4</c:v>
                </c:pt>
                <c:pt idx="31">
                  <c:v>0.6</c:v>
                </c:pt>
                <c:pt idx="32">
                  <c:v>0.8</c:v>
                </c:pt>
                <c:pt idx="33">
                  <c:v>1</c:v>
                </c:pt>
                <c:pt idx="34">
                  <c:v>1.2</c:v>
                </c:pt>
                <c:pt idx="35">
                  <c:v>1.4</c:v>
                </c:pt>
                <c:pt idx="36">
                  <c:v>1.6</c:v>
                </c:pt>
                <c:pt idx="37">
                  <c:v>1.8</c:v>
                </c:pt>
                <c:pt idx="38">
                  <c:v>2</c:v>
                </c:pt>
                <c:pt idx="39">
                  <c:v>2.2000000000000002</c:v>
                </c:pt>
                <c:pt idx="40">
                  <c:v>2.4</c:v>
                </c:pt>
                <c:pt idx="41">
                  <c:v>2.6</c:v>
                </c:pt>
                <c:pt idx="42">
                  <c:v>2.8</c:v>
                </c:pt>
                <c:pt idx="43">
                  <c:v>3</c:v>
                </c:pt>
                <c:pt idx="44">
                  <c:v>3.2</c:v>
                </c:pt>
                <c:pt idx="45">
                  <c:v>3.4</c:v>
                </c:pt>
                <c:pt idx="46">
                  <c:v>3.6</c:v>
                </c:pt>
                <c:pt idx="47">
                  <c:v>3.8</c:v>
                </c:pt>
                <c:pt idx="48">
                  <c:v>4</c:v>
                </c:pt>
                <c:pt idx="49">
                  <c:v>4.2</c:v>
                </c:pt>
                <c:pt idx="50">
                  <c:v>4.4000000000000004</c:v>
                </c:pt>
                <c:pt idx="51">
                  <c:v>4.5999999999999996</c:v>
                </c:pt>
                <c:pt idx="52">
                  <c:v>4.8</c:v>
                </c:pt>
                <c:pt idx="53">
                  <c:v>5</c:v>
                </c:pt>
                <c:pt idx="54">
                  <c:v>5.2</c:v>
                </c:pt>
                <c:pt idx="55">
                  <c:v>5.4</c:v>
                </c:pt>
                <c:pt idx="56">
                  <c:v>5.6</c:v>
                </c:pt>
              </c:numCache>
            </c:numRef>
          </c:xVal>
          <c:yVal>
            <c:numRef>
              <c:f>Sheet1!$D$3:$D$59</c:f>
              <c:numCache>
                <c:formatCode>0.0</c:formatCode>
                <c:ptCount val="5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0.2</c:v>
                </c:pt>
                <c:pt idx="6">
                  <c:v>0.4</c:v>
                </c:pt>
                <c:pt idx="7">
                  <c:v>1</c:v>
                </c:pt>
                <c:pt idx="8">
                  <c:v>2.1</c:v>
                </c:pt>
                <c:pt idx="9">
                  <c:v>3.2</c:v>
                </c:pt>
                <c:pt idx="10">
                  <c:v>3.9</c:v>
                </c:pt>
                <c:pt idx="11">
                  <c:v>3.9</c:v>
                </c:pt>
                <c:pt idx="12">
                  <c:v>3</c:v>
                </c:pt>
                <c:pt idx="13">
                  <c:v>1.9</c:v>
                </c:pt>
                <c:pt idx="14">
                  <c:v>1</c:v>
                </c:pt>
                <c:pt idx="15">
                  <c:v>3.8</c:v>
                </c:pt>
                <c:pt idx="16">
                  <c:v>8.1999999999999993</c:v>
                </c:pt>
                <c:pt idx="17">
                  <c:v>13.8</c:v>
                </c:pt>
                <c:pt idx="18">
                  <c:v>18.8</c:v>
                </c:pt>
                <c:pt idx="19">
                  <c:v>20.8</c:v>
                </c:pt>
                <c:pt idx="20">
                  <c:v>18.600000000000001</c:v>
                </c:pt>
                <c:pt idx="21">
                  <c:v>13.2</c:v>
                </c:pt>
                <c:pt idx="22">
                  <c:v>7.6</c:v>
                </c:pt>
                <c:pt idx="23">
                  <c:v>4.8</c:v>
                </c:pt>
                <c:pt idx="24">
                  <c:v>7.4</c:v>
                </c:pt>
                <c:pt idx="25">
                  <c:v>14.6</c:v>
                </c:pt>
                <c:pt idx="26">
                  <c:v>23.7</c:v>
                </c:pt>
                <c:pt idx="27">
                  <c:v>30.7</c:v>
                </c:pt>
                <c:pt idx="28">
                  <c:v>32.299999999999997</c:v>
                </c:pt>
                <c:pt idx="29">
                  <c:v>28</c:v>
                </c:pt>
                <c:pt idx="30">
                  <c:v>19.5</c:v>
                </c:pt>
                <c:pt idx="31">
                  <c:v>10.7</c:v>
                </c:pt>
                <c:pt idx="32">
                  <c:v>5.8</c:v>
                </c:pt>
                <c:pt idx="33">
                  <c:v>6.1</c:v>
                </c:pt>
                <c:pt idx="34">
                  <c:v>11.3</c:v>
                </c:pt>
                <c:pt idx="35">
                  <c:v>18.399999999999999</c:v>
                </c:pt>
                <c:pt idx="36">
                  <c:v>23.1</c:v>
                </c:pt>
                <c:pt idx="37">
                  <c:v>23.6</c:v>
                </c:pt>
                <c:pt idx="38">
                  <c:v>19.7</c:v>
                </c:pt>
                <c:pt idx="39">
                  <c:v>13.3</c:v>
                </c:pt>
                <c:pt idx="40">
                  <c:v>6.9</c:v>
                </c:pt>
                <c:pt idx="41">
                  <c:v>3.1</c:v>
                </c:pt>
                <c:pt idx="42">
                  <c:v>2.2000000000000002</c:v>
                </c:pt>
                <c:pt idx="43">
                  <c:v>3.5</c:v>
                </c:pt>
                <c:pt idx="44">
                  <c:v>5.2</c:v>
                </c:pt>
                <c:pt idx="45">
                  <c:v>6.2</c:v>
                </c:pt>
                <c:pt idx="46">
                  <c:v>5.8</c:v>
                </c:pt>
                <c:pt idx="47">
                  <c:v>4.5</c:v>
                </c:pt>
                <c:pt idx="48">
                  <c:v>2.7</c:v>
                </c:pt>
                <c:pt idx="49">
                  <c:v>1.3</c:v>
                </c:pt>
                <c:pt idx="50">
                  <c:v>0.5</c:v>
                </c:pt>
                <c:pt idx="51">
                  <c:v>0.2</c:v>
                </c:pt>
                <c:pt idx="52">
                  <c:v>0.2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C-43DE-A976-5F6309B87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748768"/>
        <c:axId val="899005904"/>
      </c:scatterChart>
      <c:valAx>
        <c:axId val="1145748768"/>
        <c:scaling>
          <c:orientation val="minMax"/>
          <c:max val="6"/>
          <c:min val="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899005904"/>
        <c:crosses val="autoZero"/>
        <c:crossBetween val="midCat"/>
        <c:majorUnit val="0.4"/>
        <c:minorUnit val="0.2"/>
      </c:valAx>
      <c:valAx>
        <c:axId val="8990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Natężenie światła [j.u.]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14574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Pojedyńcza szczelina</a:t>
            </a:r>
            <a:r>
              <a:rPr lang="pl-PL"/>
              <a:t> (skala</a:t>
            </a:r>
            <a:r>
              <a:rPr lang="pl-PL" baseline="0"/>
              <a:t> logarytmiczna)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Pojedyńcza szczelina</c:v>
                </c:pt>
                <c:pt idx="1">
                  <c:v>J [j. u.]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Sheet1!$A$3:$A$59</c:f>
              <c:numCache>
                <c:formatCode>0.0</c:formatCode>
                <c:ptCount val="57"/>
                <c:pt idx="0">
                  <c:v>-5.6</c:v>
                </c:pt>
                <c:pt idx="1">
                  <c:v>-5.4</c:v>
                </c:pt>
                <c:pt idx="2">
                  <c:v>-5.2</c:v>
                </c:pt>
                <c:pt idx="3">
                  <c:v>-5</c:v>
                </c:pt>
                <c:pt idx="4">
                  <c:v>-4.8</c:v>
                </c:pt>
                <c:pt idx="5">
                  <c:v>-4.5999999999999996</c:v>
                </c:pt>
                <c:pt idx="6">
                  <c:v>-4.4000000000000004</c:v>
                </c:pt>
                <c:pt idx="7">
                  <c:v>-4.2</c:v>
                </c:pt>
                <c:pt idx="8">
                  <c:v>-4</c:v>
                </c:pt>
                <c:pt idx="9">
                  <c:v>-3.8</c:v>
                </c:pt>
                <c:pt idx="10">
                  <c:v>-3.6</c:v>
                </c:pt>
                <c:pt idx="11">
                  <c:v>-3.4</c:v>
                </c:pt>
                <c:pt idx="12">
                  <c:v>-3.2</c:v>
                </c:pt>
                <c:pt idx="13">
                  <c:v>-3</c:v>
                </c:pt>
                <c:pt idx="14">
                  <c:v>-2.8</c:v>
                </c:pt>
                <c:pt idx="15">
                  <c:v>-2.6</c:v>
                </c:pt>
                <c:pt idx="16">
                  <c:v>-2.4</c:v>
                </c:pt>
                <c:pt idx="17">
                  <c:v>-2.2000000000000002</c:v>
                </c:pt>
                <c:pt idx="18">
                  <c:v>-2</c:v>
                </c:pt>
                <c:pt idx="19">
                  <c:v>-1.8</c:v>
                </c:pt>
                <c:pt idx="20">
                  <c:v>-1.6</c:v>
                </c:pt>
                <c:pt idx="21">
                  <c:v>-1.4</c:v>
                </c:pt>
                <c:pt idx="22">
                  <c:v>-1.2</c:v>
                </c:pt>
                <c:pt idx="23">
                  <c:v>-1</c:v>
                </c:pt>
                <c:pt idx="24">
                  <c:v>-0.8</c:v>
                </c:pt>
                <c:pt idx="25">
                  <c:v>-0.6</c:v>
                </c:pt>
                <c:pt idx="26">
                  <c:v>-0.4</c:v>
                </c:pt>
                <c:pt idx="27">
                  <c:v>-0.2</c:v>
                </c:pt>
                <c:pt idx="28">
                  <c:v>0</c:v>
                </c:pt>
                <c:pt idx="29">
                  <c:v>0.2</c:v>
                </c:pt>
                <c:pt idx="30">
                  <c:v>0.4</c:v>
                </c:pt>
                <c:pt idx="31">
                  <c:v>0.6</c:v>
                </c:pt>
                <c:pt idx="32">
                  <c:v>0.8</c:v>
                </c:pt>
                <c:pt idx="33">
                  <c:v>1</c:v>
                </c:pt>
                <c:pt idx="34">
                  <c:v>1.2</c:v>
                </c:pt>
                <c:pt idx="35">
                  <c:v>1.4</c:v>
                </c:pt>
                <c:pt idx="36">
                  <c:v>1.6</c:v>
                </c:pt>
                <c:pt idx="37">
                  <c:v>1.8</c:v>
                </c:pt>
                <c:pt idx="38">
                  <c:v>2</c:v>
                </c:pt>
                <c:pt idx="39">
                  <c:v>2.2000000000000002</c:v>
                </c:pt>
                <c:pt idx="40">
                  <c:v>2.4</c:v>
                </c:pt>
                <c:pt idx="41">
                  <c:v>2.6</c:v>
                </c:pt>
                <c:pt idx="42">
                  <c:v>2.8</c:v>
                </c:pt>
                <c:pt idx="43">
                  <c:v>3</c:v>
                </c:pt>
                <c:pt idx="44">
                  <c:v>3.2</c:v>
                </c:pt>
                <c:pt idx="45">
                  <c:v>3.4</c:v>
                </c:pt>
                <c:pt idx="46">
                  <c:v>3.6</c:v>
                </c:pt>
                <c:pt idx="47">
                  <c:v>3.8</c:v>
                </c:pt>
                <c:pt idx="48">
                  <c:v>4</c:v>
                </c:pt>
                <c:pt idx="49">
                  <c:v>4.2</c:v>
                </c:pt>
                <c:pt idx="50">
                  <c:v>4.4000000000000004</c:v>
                </c:pt>
                <c:pt idx="51">
                  <c:v>4.5999999999999996</c:v>
                </c:pt>
                <c:pt idx="52">
                  <c:v>4.8</c:v>
                </c:pt>
                <c:pt idx="53">
                  <c:v>5</c:v>
                </c:pt>
                <c:pt idx="54">
                  <c:v>5.2</c:v>
                </c:pt>
                <c:pt idx="55">
                  <c:v>5.4</c:v>
                </c:pt>
                <c:pt idx="56">
                  <c:v>5.6</c:v>
                </c:pt>
              </c:numCache>
            </c:numRef>
          </c:xVal>
          <c:yVal>
            <c:numRef>
              <c:f>Sheet1!$B$3:$B$59</c:f>
              <c:numCache>
                <c:formatCode>0.0</c:formatCode>
                <c:ptCount val="57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0.9</c:v>
                </c:pt>
                <c:pt idx="7">
                  <c:v>1.3</c:v>
                </c:pt>
                <c:pt idx="8">
                  <c:v>1.8</c:v>
                </c:pt>
                <c:pt idx="9">
                  <c:v>2.1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1.9</c:v>
                </c:pt>
                <c:pt idx="13">
                  <c:v>1.4</c:v>
                </c:pt>
                <c:pt idx="14">
                  <c:v>0.9</c:v>
                </c:pt>
                <c:pt idx="15">
                  <c:v>0.7</c:v>
                </c:pt>
                <c:pt idx="16">
                  <c:v>0.9</c:v>
                </c:pt>
                <c:pt idx="17">
                  <c:v>1.6</c:v>
                </c:pt>
                <c:pt idx="18">
                  <c:v>3.5</c:v>
                </c:pt>
                <c:pt idx="19">
                  <c:v>6.4</c:v>
                </c:pt>
                <c:pt idx="20">
                  <c:v>10.6</c:v>
                </c:pt>
                <c:pt idx="21">
                  <c:v>15.8</c:v>
                </c:pt>
                <c:pt idx="22">
                  <c:v>21.6</c:v>
                </c:pt>
                <c:pt idx="23">
                  <c:v>28</c:v>
                </c:pt>
                <c:pt idx="24">
                  <c:v>34.299999999999997</c:v>
                </c:pt>
                <c:pt idx="25">
                  <c:v>40.200000000000003</c:v>
                </c:pt>
                <c:pt idx="26">
                  <c:v>45</c:v>
                </c:pt>
                <c:pt idx="27">
                  <c:v>48</c:v>
                </c:pt>
                <c:pt idx="28">
                  <c:v>49.6</c:v>
                </c:pt>
                <c:pt idx="29">
                  <c:v>49.4</c:v>
                </c:pt>
                <c:pt idx="30">
                  <c:v>46.9</c:v>
                </c:pt>
                <c:pt idx="31">
                  <c:v>43.6</c:v>
                </c:pt>
                <c:pt idx="32">
                  <c:v>38.6</c:v>
                </c:pt>
                <c:pt idx="33">
                  <c:v>32.200000000000003</c:v>
                </c:pt>
                <c:pt idx="34">
                  <c:v>25.7</c:v>
                </c:pt>
                <c:pt idx="35">
                  <c:v>19.100000000000001</c:v>
                </c:pt>
                <c:pt idx="36">
                  <c:v>13.4</c:v>
                </c:pt>
                <c:pt idx="37">
                  <c:v>8.9</c:v>
                </c:pt>
                <c:pt idx="38">
                  <c:v>5.3</c:v>
                </c:pt>
                <c:pt idx="39">
                  <c:v>2.5</c:v>
                </c:pt>
                <c:pt idx="40">
                  <c:v>1</c:v>
                </c:pt>
                <c:pt idx="41">
                  <c:v>0.5</c:v>
                </c:pt>
                <c:pt idx="42">
                  <c:v>0.5</c:v>
                </c:pt>
                <c:pt idx="43">
                  <c:v>0.9</c:v>
                </c:pt>
                <c:pt idx="44">
                  <c:v>1.4</c:v>
                </c:pt>
                <c:pt idx="45">
                  <c:v>1.9</c:v>
                </c:pt>
                <c:pt idx="46">
                  <c:v>2.1</c:v>
                </c:pt>
                <c:pt idx="47">
                  <c:v>2.1</c:v>
                </c:pt>
                <c:pt idx="48">
                  <c:v>1.9</c:v>
                </c:pt>
                <c:pt idx="49">
                  <c:v>1.5</c:v>
                </c:pt>
                <c:pt idx="50">
                  <c:v>1</c:v>
                </c:pt>
                <c:pt idx="51">
                  <c:v>0.6</c:v>
                </c:pt>
                <c:pt idx="52">
                  <c:v>0.3</c:v>
                </c:pt>
                <c:pt idx="53">
                  <c:v>0.2</c:v>
                </c:pt>
                <c:pt idx="54">
                  <c:v>0.1</c:v>
                </c:pt>
                <c:pt idx="55">
                  <c:v>0.2</c:v>
                </c:pt>
                <c:pt idx="56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B1-4B48-9791-E010A74CA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269136"/>
        <c:axId val="894420336"/>
      </c:scatterChart>
      <c:valAx>
        <c:axId val="1090269136"/>
        <c:scaling>
          <c:orientation val="minMax"/>
          <c:max val="6"/>
          <c:min val="-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894420336"/>
        <c:crosses val="max"/>
        <c:crossBetween val="midCat"/>
        <c:majorUnit val="0.4"/>
        <c:minorUnit val="0.2"/>
      </c:valAx>
      <c:valAx>
        <c:axId val="894420336"/>
        <c:scaling>
          <c:logBase val="10"/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Natężenie</a:t>
                </a:r>
                <a:r>
                  <a:rPr lang="pl-PL" baseline="0"/>
                  <a:t> światła</a:t>
                </a:r>
                <a:r>
                  <a:rPr lang="pl-PL"/>
                  <a:t> [j.u.]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09026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Podwója szczelina</a:t>
            </a:r>
            <a:r>
              <a:rPr lang="pl-PL"/>
              <a:t> (skala logarytmiczna)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Podwója szczelina</c:v>
                </c:pt>
                <c:pt idx="1">
                  <c:v>J [j. u.]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Sheet1!$C$3:$C$59</c:f>
              <c:numCache>
                <c:formatCode>0.0</c:formatCode>
                <c:ptCount val="57"/>
                <c:pt idx="0">
                  <c:v>-5.6</c:v>
                </c:pt>
                <c:pt idx="1">
                  <c:v>-5.4</c:v>
                </c:pt>
                <c:pt idx="2">
                  <c:v>-5.2</c:v>
                </c:pt>
                <c:pt idx="3">
                  <c:v>-5</c:v>
                </c:pt>
                <c:pt idx="4">
                  <c:v>-4.8</c:v>
                </c:pt>
                <c:pt idx="5">
                  <c:v>-4.5999999999999996</c:v>
                </c:pt>
                <c:pt idx="6">
                  <c:v>-4.4000000000000004</c:v>
                </c:pt>
                <c:pt idx="7">
                  <c:v>-4.2</c:v>
                </c:pt>
                <c:pt idx="8">
                  <c:v>-4</c:v>
                </c:pt>
                <c:pt idx="9">
                  <c:v>-3.8</c:v>
                </c:pt>
                <c:pt idx="10">
                  <c:v>-3.6</c:v>
                </c:pt>
                <c:pt idx="11">
                  <c:v>-3.4</c:v>
                </c:pt>
                <c:pt idx="12">
                  <c:v>-3.2</c:v>
                </c:pt>
                <c:pt idx="13">
                  <c:v>-3</c:v>
                </c:pt>
                <c:pt idx="14">
                  <c:v>-2.8</c:v>
                </c:pt>
                <c:pt idx="15">
                  <c:v>-2.6</c:v>
                </c:pt>
                <c:pt idx="16">
                  <c:v>-2.4</c:v>
                </c:pt>
                <c:pt idx="17">
                  <c:v>-2.2000000000000002</c:v>
                </c:pt>
                <c:pt idx="18">
                  <c:v>-2</c:v>
                </c:pt>
                <c:pt idx="19">
                  <c:v>-1.8</c:v>
                </c:pt>
                <c:pt idx="20">
                  <c:v>-1.6</c:v>
                </c:pt>
                <c:pt idx="21">
                  <c:v>-1.4</c:v>
                </c:pt>
                <c:pt idx="22">
                  <c:v>-1.2</c:v>
                </c:pt>
                <c:pt idx="23">
                  <c:v>-1</c:v>
                </c:pt>
                <c:pt idx="24">
                  <c:v>-0.8</c:v>
                </c:pt>
                <c:pt idx="25">
                  <c:v>-0.6</c:v>
                </c:pt>
                <c:pt idx="26">
                  <c:v>-0.4</c:v>
                </c:pt>
                <c:pt idx="27">
                  <c:v>-0.2</c:v>
                </c:pt>
                <c:pt idx="28">
                  <c:v>0</c:v>
                </c:pt>
                <c:pt idx="29">
                  <c:v>0.2</c:v>
                </c:pt>
                <c:pt idx="30">
                  <c:v>0.4</c:v>
                </c:pt>
                <c:pt idx="31">
                  <c:v>0.6</c:v>
                </c:pt>
                <c:pt idx="32">
                  <c:v>0.8</c:v>
                </c:pt>
                <c:pt idx="33">
                  <c:v>1</c:v>
                </c:pt>
                <c:pt idx="34">
                  <c:v>1.2</c:v>
                </c:pt>
                <c:pt idx="35">
                  <c:v>1.4</c:v>
                </c:pt>
                <c:pt idx="36">
                  <c:v>1.6</c:v>
                </c:pt>
                <c:pt idx="37">
                  <c:v>1.8</c:v>
                </c:pt>
                <c:pt idx="38">
                  <c:v>2</c:v>
                </c:pt>
                <c:pt idx="39">
                  <c:v>2.2000000000000002</c:v>
                </c:pt>
                <c:pt idx="40">
                  <c:v>2.4</c:v>
                </c:pt>
                <c:pt idx="41">
                  <c:v>2.6</c:v>
                </c:pt>
                <c:pt idx="42">
                  <c:v>2.8</c:v>
                </c:pt>
                <c:pt idx="43">
                  <c:v>3</c:v>
                </c:pt>
                <c:pt idx="44">
                  <c:v>3.2</c:v>
                </c:pt>
                <c:pt idx="45">
                  <c:v>3.4</c:v>
                </c:pt>
                <c:pt idx="46">
                  <c:v>3.6</c:v>
                </c:pt>
                <c:pt idx="47">
                  <c:v>3.8</c:v>
                </c:pt>
                <c:pt idx="48">
                  <c:v>4</c:v>
                </c:pt>
                <c:pt idx="49">
                  <c:v>4.2</c:v>
                </c:pt>
                <c:pt idx="50">
                  <c:v>4.4000000000000004</c:v>
                </c:pt>
                <c:pt idx="51">
                  <c:v>4.5999999999999996</c:v>
                </c:pt>
                <c:pt idx="52">
                  <c:v>4.8</c:v>
                </c:pt>
                <c:pt idx="53">
                  <c:v>5</c:v>
                </c:pt>
                <c:pt idx="54">
                  <c:v>5.2</c:v>
                </c:pt>
                <c:pt idx="55">
                  <c:v>5.4</c:v>
                </c:pt>
                <c:pt idx="56">
                  <c:v>5.6</c:v>
                </c:pt>
              </c:numCache>
            </c:numRef>
          </c:xVal>
          <c:yVal>
            <c:numRef>
              <c:f>Sheet1!$D$3:$D$59</c:f>
              <c:numCache>
                <c:formatCode>0.0</c:formatCode>
                <c:ptCount val="57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0.2</c:v>
                </c:pt>
                <c:pt idx="6">
                  <c:v>0.4</c:v>
                </c:pt>
                <c:pt idx="7">
                  <c:v>1</c:v>
                </c:pt>
                <c:pt idx="8">
                  <c:v>2.1</c:v>
                </c:pt>
                <c:pt idx="9">
                  <c:v>3.2</c:v>
                </c:pt>
                <c:pt idx="10">
                  <c:v>3.9</c:v>
                </c:pt>
                <c:pt idx="11">
                  <c:v>3.9</c:v>
                </c:pt>
                <c:pt idx="12">
                  <c:v>3</c:v>
                </c:pt>
                <c:pt idx="13">
                  <c:v>1.9</c:v>
                </c:pt>
                <c:pt idx="14">
                  <c:v>1</c:v>
                </c:pt>
                <c:pt idx="15">
                  <c:v>3.8</c:v>
                </c:pt>
                <c:pt idx="16">
                  <c:v>8.1999999999999993</c:v>
                </c:pt>
                <c:pt idx="17">
                  <c:v>13.8</c:v>
                </c:pt>
                <c:pt idx="18">
                  <c:v>18.8</c:v>
                </c:pt>
                <c:pt idx="19">
                  <c:v>20.8</c:v>
                </c:pt>
                <c:pt idx="20">
                  <c:v>18.600000000000001</c:v>
                </c:pt>
                <c:pt idx="21">
                  <c:v>13.2</c:v>
                </c:pt>
                <c:pt idx="22">
                  <c:v>7.6</c:v>
                </c:pt>
                <c:pt idx="23">
                  <c:v>4.8</c:v>
                </c:pt>
                <c:pt idx="24">
                  <c:v>7.4</c:v>
                </c:pt>
                <c:pt idx="25">
                  <c:v>14.6</c:v>
                </c:pt>
                <c:pt idx="26">
                  <c:v>23.7</c:v>
                </c:pt>
                <c:pt idx="27">
                  <c:v>30.7</c:v>
                </c:pt>
                <c:pt idx="28">
                  <c:v>32.299999999999997</c:v>
                </c:pt>
                <c:pt idx="29">
                  <c:v>28</c:v>
                </c:pt>
                <c:pt idx="30">
                  <c:v>19.5</c:v>
                </c:pt>
                <c:pt idx="31">
                  <c:v>10.7</c:v>
                </c:pt>
                <c:pt idx="32">
                  <c:v>5.8</c:v>
                </c:pt>
                <c:pt idx="33">
                  <c:v>6.1</c:v>
                </c:pt>
                <c:pt idx="34">
                  <c:v>11.3</c:v>
                </c:pt>
                <c:pt idx="35">
                  <c:v>18.399999999999999</c:v>
                </c:pt>
                <c:pt idx="36">
                  <c:v>23.1</c:v>
                </c:pt>
                <c:pt idx="37">
                  <c:v>23.6</c:v>
                </c:pt>
                <c:pt idx="38">
                  <c:v>19.7</c:v>
                </c:pt>
                <c:pt idx="39">
                  <c:v>13.3</c:v>
                </c:pt>
                <c:pt idx="40">
                  <c:v>6.9</c:v>
                </c:pt>
                <c:pt idx="41">
                  <c:v>3.1</c:v>
                </c:pt>
                <c:pt idx="42">
                  <c:v>2.2000000000000002</c:v>
                </c:pt>
                <c:pt idx="43">
                  <c:v>3.5</c:v>
                </c:pt>
                <c:pt idx="44">
                  <c:v>5.2</c:v>
                </c:pt>
                <c:pt idx="45">
                  <c:v>6.2</c:v>
                </c:pt>
                <c:pt idx="46">
                  <c:v>5.8</c:v>
                </c:pt>
                <c:pt idx="47">
                  <c:v>4.5</c:v>
                </c:pt>
                <c:pt idx="48">
                  <c:v>2.7</c:v>
                </c:pt>
                <c:pt idx="49">
                  <c:v>1.3</c:v>
                </c:pt>
                <c:pt idx="50">
                  <c:v>0.5</c:v>
                </c:pt>
                <c:pt idx="51">
                  <c:v>0.2</c:v>
                </c:pt>
                <c:pt idx="52">
                  <c:v>0.2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9-4425-8543-76A0E83D2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748768"/>
        <c:axId val="899005904"/>
      </c:scatterChart>
      <c:valAx>
        <c:axId val="1145748768"/>
        <c:scaling>
          <c:orientation val="minMax"/>
          <c:max val="6"/>
          <c:min val="-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x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899005904"/>
        <c:crosses val="max"/>
        <c:crossBetween val="midCat"/>
        <c:majorUnit val="0.4"/>
        <c:minorUnit val="0.2"/>
      </c:valAx>
      <c:valAx>
        <c:axId val="899005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Natężenie światła [j.u.]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14574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371474</xdr:colOff>
      <xdr:row>7</xdr:row>
      <xdr:rowOff>157161</xdr:rowOff>
    </xdr:from>
    <xdr:to>
      <xdr:col>8</xdr:col>
      <xdr:colOff>2409824</xdr:colOff>
      <xdr:row>28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0411C-5CBB-5E49-B474-23C88074D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53686</xdr:colOff>
      <xdr:row>7</xdr:row>
      <xdr:rowOff>70571</xdr:rowOff>
    </xdr:from>
    <xdr:to>
      <xdr:col>19</xdr:col>
      <xdr:colOff>303934</xdr:colOff>
      <xdr:row>28</xdr:row>
      <xdr:rowOff>84859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59702D-7969-1C56-F6A4-6C9C4AA48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352425</xdr:colOff>
      <xdr:row>29</xdr:row>
      <xdr:rowOff>104775</xdr:rowOff>
    </xdr:from>
    <xdr:to>
      <xdr:col>8</xdr:col>
      <xdr:colOff>2390775</xdr:colOff>
      <xdr:row>50</xdr:row>
      <xdr:rowOff>128588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33E1D5-05DE-43A7-9CEC-55BD0BB4E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96116</xdr:colOff>
      <xdr:row>28</xdr:row>
      <xdr:rowOff>174048</xdr:rowOff>
    </xdr:from>
    <xdr:to>
      <xdr:col>19</xdr:col>
      <xdr:colOff>346364</xdr:colOff>
      <xdr:row>49</xdr:row>
      <xdr:rowOff>188336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093192-C86A-456B-9176-292BFFF84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topLeftCell="M1" zoomScale="85" zoomScaleNormal="85" workbookViewId="0">
      <selection activeCell="O60" sqref="O60"/>
    </sheetView>
  </sheetViews>
  <sheetFormatPr defaultRowHeight="15" x14ac:dyDescent="0.25"/>
  <cols>
    <col min="1" max="4" width="10.5703125" customWidth="1"/>
    <col min="5" max="5" width="4.140625" customWidth="1"/>
    <col min="6" max="6" width="38.5703125" bestFit="1" customWidth="1"/>
    <col min="7" max="7" width="33.140625" bestFit="1" customWidth="1"/>
    <col min="8" max="8" width="35.28515625" bestFit="1" customWidth="1"/>
    <col min="9" max="9" width="49" bestFit="1" customWidth="1"/>
    <col min="10" max="10" width="47.140625" bestFit="1" customWidth="1"/>
    <col min="11" max="12" width="27" customWidth="1"/>
    <col min="13" max="13" width="25.5703125" bestFit="1" customWidth="1"/>
    <col min="14" max="14" width="33.140625" bestFit="1" customWidth="1"/>
    <col min="15" max="15" width="36" bestFit="1" customWidth="1"/>
    <col min="16" max="16" width="12.140625" bestFit="1" customWidth="1"/>
    <col min="17" max="17" width="47.140625" bestFit="1" customWidth="1"/>
  </cols>
  <sheetData>
    <row r="1" spans="1:14" x14ac:dyDescent="0.25">
      <c r="A1" s="3" t="s">
        <v>2</v>
      </c>
      <c r="B1" s="3"/>
      <c r="C1" s="3" t="s">
        <v>3</v>
      </c>
      <c r="D1" s="3"/>
      <c r="F1" s="4" t="s">
        <v>2</v>
      </c>
      <c r="G1" s="4" t="s">
        <v>3</v>
      </c>
      <c r="H1" s="4" t="s">
        <v>8</v>
      </c>
      <c r="I1" s="4" t="s">
        <v>9</v>
      </c>
      <c r="J1" s="4" t="s">
        <v>11</v>
      </c>
      <c r="M1" s="4" t="s">
        <v>4</v>
      </c>
      <c r="N1" s="4" t="s">
        <v>10</v>
      </c>
    </row>
    <row r="2" spans="1:14" x14ac:dyDescent="0.25">
      <c r="A2" s="4" t="s">
        <v>0</v>
      </c>
      <c r="B2" s="4" t="s">
        <v>1</v>
      </c>
      <c r="C2" s="4" t="s">
        <v>0</v>
      </c>
      <c r="D2" s="4" t="s">
        <v>1</v>
      </c>
      <c r="F2" s="4" t="s">
        <v>6</v>
      </c>
      <c r="G2" s="4" t="s">
        <v>6</v>
      </c>
      <c r="H2" s="1">
        <v>750</v>
      </c>
      <c r="I2" s="1">
        <v>1435</v>
      </c>
      <c r="J2" s="1">
        <v>530</v>
      </c>
      <c r="M2" s="1">
        <v>0.01</v>
      </c>
      <c r="N2" s="1">
        <v>0.1</v>
      </c>
    </row>
    <row r="3" spans="1:14" x14ac:dyDescent="0.25">
      <c r="A3" s="2">
        <v>-5.6</v>
      </c>
      <c r="B3" s="2">
        <v>0.5</v>
      </c>
      <c r="C3" s="2">
        <v>-5.6</v>
      </c>
      <c r="D3" s="2">
        <v>0.3</v>
      </c>
      <c r="F3" s="1" t="s">
        <v>5</v>
      </c>
      <c r="G3" s="1">
        <v>70</v>
      </c>
      <c r="I3" s="4" t="s">
        <v>12</v>
      </c>
      <c r="J3" s="4" t="s">
        <v>26</v>
      </c>
    </row>
    <row r="4" spans="1:14" x14ac:dyDescent="0.25">
      <c r="A4" s="2">
        <v>-5.4</v>
      </c>
      <c r="B4" s="2">
        <v>0.3</v>
      </c>
      <c r="C4" s="2">
        <v>-5.4</v>
      </c>
      <c r="D4" s="2">
        <v>0.2</v>
      </c>
      <c r="G4" s="4" t="s">
        <v>7</v>
      </c>
      <c r="I4" s="1">
        <f>I2-H2</f>
        <v>685</v>
      </c>
      <c r="J4" s="1">
        <f>$J$2*10^-6</f>
        <v>5.2999999999999998E-4</v>
      </c>
    </row>
    <row r="5" spans="1:14" x14ac:dyDescent="0.25">
      <c r="A5" s="2">
        <v>-5.2</v>
      </c>
      <c r="B5" s="2">
        <v>0.2</v>
      </c>
      <c r="C5" s="2">
        <v>-5.2</v>
      </c>
      <c r="D5" s="2">
        <v>0.1</v>
      </c>
      <c r="G5" s="1">
        <v>200</v>
      </c>
    </row>
    <row r="6" spans="1:14" x14ac:dyDescent="0.25">
      <c r="A6" s="2">
        <v>-5</v>
      </c>
      <c r="B6" s="2">
        <v>0.2</v>
      </c>
      <c r="C6" s="2">
        <v>-5</v>
      </c>
      <c r="D6" s="2">
        <v>0.1</v>
      </c>
    </row>
    <row r="7" spans="1:14" x14ac:dyDescent="0.25">
      <c r="A7" s="2">
        <v>-4.8</v>
      </c>
      <c r="B7" s="2">
        <v>0.3</v>
      </c>
      <c r="C7" s="2">
        <v>-4.8</v>
      </c>
      <c r="D7" s="2">
        <v>0.1</v>
      </c>
    </row>
    <row r="8" spans="1:14" x14ac:dyDescent="0.25">
      <c r="A8" s="2">
        <v>-4.5999999999999996</v>
      </c>
      <c r="B8" s="2">
        <v>0.5</v>
      </c>
      <c r="C8" s="2">
        <v>-4.5999999999999996</v>
      </c>
      <c r="D8" s="2">
        <v>0.2</v>
      </c>
    </row>
    <row r="9" spans="1:14" x14ac:dyDescent="0.25">
      <c r="A9" s="2">
        <v>-4.4000000000000004</v>
      </c>
      <c r="B9" s="2">
        <v>0.9</v>
      </c>
      <c r="C9" s="2">
        <v>-4.4000000000000004</v>
      </c>
      <c r="D9" s="2">
        <v>0.4</v>
      </c>
    </row>
    <row r="10" spans="1:14" x14ac:dyDescent="0.25">
      <c r="A10" s="2">
        <v>-4.2</v>
      </c>
      <c r="B10" s="2">
        <v>1.3</v>
      </c>
      <c r="C10" s="2">
        <v>-4.2</v>
      </c>
      <c r="D10" s="2">
        <v>1</v>
      </c>
    </row>
    <row r="11" spans="1:14" x14ac:dyDescent="0.25">
      <c r="A11" s="2">
        <v>-4</v>
      </c>
      <c r="B11" s="2">
        <v>1.8</v>
      </c>
      <c r="C11" s="2">
        <v>-4</v>
      </c>
      <c r="D11" s="2">
        <v>2.1</v>
      </c>
    </row>
    <row r="12" spans="1:14" x14ac:dyDescent="0.25">
      <c r="A12" s="2">
        <v>-3.8</v>
      </c>
      <c r="B12" s="2">
        <v>2.1</v>
      </c>
      <c r="C12" s="2">
        <v>-3.8</v>
      </c>
      <c r="D12" s="2">
        <v>3.2</v>
      </c>
    </row>
    <row r="13" spans="1:14" x14ac:dyDescent="0.25">
      <c r="A13" s="2">
        <v>-3.6</v>
      </c>
      <c r="B13" s="2">
        <v>2.2000000000000002</v>
      </c>
      <c r="C13" s="2">
        <v>-3.6</v>
      </c>
      <c r="D13" s="2">
        <v>3.9</v>
      </c>
    </row>
    <row r="14" spans="1:14" x14ac:dyDescent="0.25">
      <c r="A14" s="2">
        <v>-3.4</v>
      </c>
      <c r="B14" s="2">
        <v>2.2000000000000002</v>
      </c>
      <c r="C14" s="2">
        <v>-3.4</v>
      </c>
      <c r="D14" s="2">
        <v>3.9</v>
      </c>
    </row>
    <row r="15" spans="1:14" x14ac:dyDescent="0.25">
      <c r="A15" s="2">
        <v>-3.2</v>
      </c>
      <c r="B15" s="2">
        <v>1.9</v>
      </c>
      <c r="C15" s="2">
        <v>-3.2</v>
      </c>
      <c r="D15" s="2">
        <v>3</v>
      </c>
    </row>
    <row r="16" spans="1:14" x14ac:dyDescent="0.25">
      <c r="A16" s="2">
        <v>-3</v>
      </c>
      <c r="B16" s="2">
        <v>1.4</v>
      </c>
      <c r="C16" s="2">
        <v>-3</v>
      </c>
      <c r="D16" s="2">
        <v>1.9</v>
      </c>
    </row>
    <row r="17" spans="1:4" x14ac:dyDescent="0.25">
      <c r="A17" s="2">
        <v>-2.8</v>
      </c>
      <c r="B17" s="2">
        <v>0.9</v>
      </c>
      <c r="C17" s="2">
        <v>-2.8</v>
      </c>
      <c r="D17" s="2">
        <v>1</v>
      </c>
    </row>
    <row r="18" spans="1:4" x14ac:dyDescent="0.25">
      <c r="A18" s="2">
        <v>-2.6</v>
      </c>
      <c r="B18" s="2">
        <v>0.7</v>
      </c>
      <c r="C18" s="2">
        <v>-2.6</v>
      </c>
      <c r="D18" s="2">
        <v>3.8</v>
      </c>
    </row>
    <row r="19" spans="1:4" x14ac:dyDescent="0.25">
      <c r="A19" s="2">
        <v>-2.4</v>
      </c>
      <c r="B19" s="2">
        <v>0.9</v>
      </c>
      <c r="C19" s="2">
        <v>-2.4</v>
      </c>
      <c r="D19" s="2">
        <v>8.1999999999999993</v>
      </c>
    </row>
    <row r="20" spans="1:4" x14ac:dyDescent="0.25">
      <c r="A20" s="2">
        <v>-2.2000000000000002</v>
      </c>
      <c r="B20" s="2">
        <v>1.6</v>
      </c>
      <c r="C20" s="2">
        <v>-2.2000000000000002</v>
      </c>
      <c r="D20" s="2">
        <v>13.8</v>
      </c>
    </row>
    <row r="21" spans="1:4" x14ac:dyDescent="0.25">
      <c r="A21" s="2">
        <v>-2</v>
      </c>
      <c r="B21" s="2">
        <v>3.5</v>
      </c>
      <c r="C21" s="2">
        <v>-2</v>
      </c>
      <c r="D21" s="2">
        <v>18.8</v>
      </c>
    </row>
    <row r="22" spans="1:4" x14ac:dyDescent="0.25">
      <c r="A22" s="2">
        <v>-1.8</v>
      </c>
      <c r="B22" s="2">
        <v>6.4</v>
      </c>
      <c r="C22" s="2">
        <v>-1.8</v>
      </c>
      <c r="D22" s="2">
        <v>20.8</v>
      </c>
    </row>
    <row r="23" spans="1:4" x14ac:dyDescent="0.25">
      <c r="A23" s="2">
        <v>-1.6</v>
      </c>
      <c r="B23" s="2">
        <v>10.6</v>
      </c>
      <c r="C23" s="2">
        <v>-1.6</v>
      </c>
      <c r="D23" s="2">
        <v>18.600000000000001</v>
      </c>
    </row>
    <row r="24" spans="1:4" x14ac:dyDescent="0.25">
      <c r="A24" s="2">
        <v>-1.4</v>
      </c>
      <c r="B24" s="2">
        <v>15.8</v>
      </c>
      <c r="C24" s="2">
        <v>-1.4</v>
      </c>
      <c r="D24" s="2">
        <v>13.2</v>
      </c>
    </row>
    <row r="25" spans="1:4" x14ac:dyDescent="0.25">
      <c r="A25" s="2">
        <v>-1.2</v>
      </c>
      <c r="B25" s="2">
        <v>21.6</v>
      </c>
      <c r="C25" s="2">
        <v>-1.2</v>
      </c>
      <c r="D25" s="2">
        <v>7.6</v>
      </c>
    </row>
    <row r="26" spans="1:4" x14ac:dyDescent="0.25">
      <c r="A26" s="2">
        <v>-1</v>
      </c>
      <c r="B26" s="2">
        <v>28</v>
      </c>
      <c r="C26" s="2">
        <v>-1</v>
      </c>
      <c r="D26" s="2">
        <v>4.8</v>
      </c>
    </row>
    <row r="27" spans="1:4" x14ac:dyDescent="0.25">
      <c r="A27" s="2">
        <v>-0.8</v>
      </c>
      <c r="B27" s="2">
        <v>34.299999999999997</v>
      </c>
      <c r="C27" s="2">
        <v>-0.8</v>
      </c>
      <c r="D27" s="2">
        <v>7.4</v>
      </c>
    </row>
    <row r="28" spans="1:4" x14ac:dyDescent="0.25">
      <c r="A28" s="2">
        <v>-0.6</v>
      </c>
      <c r="B28" s="2">
        <v>40.200000000000003</v>
      </c>
      <c r="C28" s="2">
        <v>-0.6</v>
      </c>
      <c r="D28" s="2">
        <v>14.6</v>
      </c>
    </row>
    <row r="29" spans="1:4" x14ac:dyDescent="0.25">
      <c r="A29" s="2">
        <v>-0.4</v>
      </c>
      <c r="B29" s="2">
        <v>45</v>
      </c>
      <c r="C29" s="2">
        <v>-0.4</v>
      </c>
      <c r="D29" s="2">
        <v>23.7</v>
      </c>
    </row>
    <row r="30" spans="1:4" x14ac:dyDescent="0.25">
      <c r="A30" s="2">
        <v>-0.2</v>
      </c>
      <c r="B30" s="2">
        <v>48</v>
      </c>
      <c r="C30" s="2">
        <v>-0.2</v>
      </c>
      <c r="D30" s="2">
        <v>30.7</v>
      </c>
    </row>
    <row r="31" spans="1:4" x14ac:dyDescent="0.25">
      <c r="A31" s="2">
        <v>0</v>
      </c>
      <c r="B31" s="2">
        <v>49.6</v>
      </c>
      <c r="C31" s="2">
        <v>0</v>
      </c>
      <c r="D31" s="2">
        <v>32.299999999999997</v>
      </c>
    </row>
    <row r="32" spans="1:4" x14ac:dyDescent="0.25">
      <c r="A32" s="2">
        <v>0.2</v>
      </c>
      <c r="B32" s="2">
        <v>49.4</v>
      </c>
      <c r="C32" s="2">
        <v>0.2</v>
      </c>
      <c r="D32" s="2">
        <v>28</v>
      </c>
    </row>
    <row r="33" spans="1:4" x14ac:dyDescent="0.25">
      <c r="A33" s="2">
        <v>0.4</v>
      </c>
      <c r="B33" s="2">
        <v>46.9</v>
      </c>
      <c r="C33" s="2">
        <v>0.4</v>
      </c>
      <c r="D33" s="2">
        <v>19.5</v>
      </c>
    </row>
    <row r="34" spans="1:4" x14ac:dyDescent="0.25">
      <c r="A34" s="2">
        <v>0.6</v>
      </c>
      <c r="B34" s="2">
        <v>43.6</v>
      </c>
      <c r="C34" s="2">
        <v>0.6</v>
      </c>
      <c r="D34" s="2">
        <v>10.7</v>
      </c>
    </row>
    <row r="35" spans="1:4" x14ac:dyDescent="0.25">
      <c r="A35" s="2">
        <v>0.8</v>
      </c>
      <c r="B35" s="2">
        <v>38.6</v>
      </c>
      <c r="C35" s="2">
        <v>0.8</v>
      </c>
      <c r="D35" s="2">
        <v>5.8</v>
      </c>
    </row>
    <row r="36" spans="1:4" x14ac:dyDescent="0.25">
      <c r="A36" s="2">
        <v>1</v>
      </c>
      <c r="B36" s="2">
        <v>32.200000000000003</v>
      </c>
      <c r="C36" s="2">
        <v>1</v>
      </c>
      <c r="D36" s="2">
        <v>6.1</v>
      </c>
    </row>
    <row r="37" spans="1:4" x14ac:dyDescent="0.25">
      <c r="A37" s="2">
        <v>1.2</v>
      </c>
      <c r="B37" s="2">
        <v>25.7</v>
      </c>
      <c r="C37" s="2">
        <v>1.2</v>
      </c>
      <c r="D37" s="2">
        <v>11.3</v>
      </c>
    </row>
    <row r="38" spans="1:4" x14ac:dyDescent="0.25">
      <c r="A38" s="2">
        <v>1.4</v>
      </c>
      <c r="B38" s="2">
        <v>19.100000000000001</v>
      </c>
      <c r="C38" s="2">
        <v>1.4</v>
      </c>
      <c r="D38" s="2">
        <v>18.399999999999999</v>
      </c>
    </row>
    <row r="39" spans="1:4" x14ac:dyDescent="0.25">
      <c r="A39" s="2">
        <v>1.6</v>
      </c>
      <c r="B39" s="2">
        <v>13.4</v>
      </c>
      <c r="C39" s="2">
        <v>1.6</v>
      </c>
      <c r="D39" s="2">
        <v>23.1</v>
      </c>
    </row>
    <row r="40" spans="1:4" x14ac:dyDescent="0.25">
      <c r="A40" s="2">
        <v>1.8</v>
      </c>
      <c r="B40" s="2">
        <v>8.9</v>
      </c>
      <c r="C40" s="2">
        <v>1.8</v>
      </c>
      <c r="D40" s="2">
        <v>23.6</v>
      </c>
    </row>
    <row r="41" spans="1:4" x14ac:dyDescent="0.25">
      <c r="A41" s="2">
        <v>2</v>
      </c>
      <c r="B41" s="2">
        <v>5.3</v>
      </c>
      <c r="C41" s="2">
        <v>2</v>
      </c>
      <c r="D41" s="2">
        <v>19.7</v>
      </c>
    </row>
    <row r="42" spans="1:4" x14ac:dyDescent="0.25">
      <c r="A42" s="2">
        <v>2.2000000000000002</v>
      </c>
      <c r="B42" s="2">
        <v>2.5</v>
      </c>
      <c r="C42" s="2">
        <v>2.2000000000000002</v>
      </c>
      <c r="D42" s="2">
        <v>13.3</v>
      </c>
    </row>
    <row r="43" spans="1:4" x14ac:dyDescent="0.25">
      <c r="A43" s="2">
        <v>2.4</v>
      </c>
      <c r="B43" s="2">
        <v>1</v>
      </c>
      <c r="C43" s="2">
        <v>2.4</v>
      </c>
      <c r="D43" s="2">
        <v>6.9</v>
      </c>
    </row>
    <row r="44" spans="1:4" x14ac:dyDescent="0.25">
      <c r="A44" s="2">
        <v>2.6</v>
      </c>
      <c r="B44" s="2">
        <v>0.5</v>
      </c>
      <c r="C44" s="2">
        <v>2.6</v>
      </c>
      <c r="D44" s="2">
        <v>3.1</v>
      </c>
    </row>
    <row r="45" spans="1:4" x14ac:dyDescent="0.25">
      <c r="A45" s="2">
        <v>2.8</v>
      </c>
      <c r="B45" s="2">
        <v>0.5</v>
      </c>
      <c r="C45" s="2">
        <v>2.8</v>
      </c>
      <c r="D45" s="2">
        <v>2.2000000000000002</v>
      </c>
    </row>
    <row r="46" spans="1:4" x14ac:dyDescent="0.25">
      <c r="A46" s="2">
        <v>3</v>
      </c>
      <c r="B46" s="2">
        <v>0.9</v>
      </c>
      <c r="C46" s="2">
        <v>3</v>
      </c>
      <c r="D46" s="2">
        <v>3.5</v>
      </c>
    </row>
    <row r="47" spans="1:4" x14ac:dyDescent="0.25">
      <c r="A47" s="2">
        <v>3.2</v>
      </c>
      <c r="B47" s="2">
        <v>1.4</v>
      </c>
      <c r="C47" s="2">
        <v>3.2</v>
      </c>
      <c r="D47" s="2">
        <v>5.2</v>
      </c>
    </row>
    <row r="48" spans="1:4" x14ac:dyDescent="0.25">
      <c r="A48" s="2">
        <v>3.4</v>
      </c>
      <c r="B48" s="2">
        <v>1.9</v>
      </c>
      <c r="C48" s="2">
        <v>3.4</v>
      </c>
      <c r="D48" s="2">
        <v>6.2</v>
      </c>
    </row>
    <row r="49" spans="1:17" x14ac:dyDescent="0.25">
      <c r="A49" s="2">
        <v>3.6</v>
      </c>
      <c r="B49" s="2">
        <v>2.1</v>
      </c>
      <c r="C49" s="2">
        <v>3.6</v>
      </c>
      <c r="D49" s="2">
        <v>5.8</v>
      </c>
    </row>
    <row r="50" spans="1:17" x14ac:dyDescent="0.25">
      <c r="A50" s="2">
        <v>3.8</v>
      </c>
      <c r="B50" s="2">
        <v>2.1</v>
      </c>
      <c r="C50" s="2">
        <v>3.8</v>
      </c>
      <c r="D50" s="2">
        <v>4.5</v>
      </c>
    </row>
    <row r="51" spans="1:17" x14ac:dyDescent="0.25">
      <c r="A51" s="2">
        <v>4</v>
      </c>
      <c r="B51" s="2">
        <v>1.9</v>
      </c>
      <c r="C51" s="2">
        <v>4</v>
      </c>
      <c r="D51" s="2">
        <v>2.7</v>
      </c>
    </row>
    <row r="52" spans="1:17" x14ac:dyDescent="0.25">
      <c r="A52" s="2">
        <v>4.2</v>
      </c>
      <c r="B52" s="2">
        <v>1.5</v>
      </c>
      <c r="C52" s="2">
        <v>4.2</v>
      </c>
      <c r="D52" s="2">
        <v>1.3</v>
      </c>
    </row>
    <row r="53" spans="1:17" x14ac:dyDescent="0.25">
      <c r="A53" s="2">
        <v>4.4000000000000004</v>
      </c>
      <c r="B53" s="2">
        <v>1</v>
      </c>
      <c r="C53" s="2">
        <v>4.4000000000000004</v>
      </c>
      <c r="D53" s="2">
        <v>0.5</v>
      </c>
      <c r="F53" s="4" t="s">
        <v>13</v>
      </c>
      <c r="G53" s="4" t="s">
        <v>14</v>
      </c>
      <c r="H53" s="4" t="s">
        <v>15</v>
      </c>
      <c r="I53" s="4" t="s">
        <v>16</v>
      </c>
      <c r="J53" s="4" t="s">
        <v>27</v>
      </c>
      <c r="K53" s="4" t="s">
        <v>29</v>
      </c>
      <c r="M53" s="4" t="s">
        <v>25</v>
      </c>
      <c r="N53" s="4" t="s">
        <v>14</v>
      </c>
      <c r="O53" s="4" t="s">
        <v>15</v>
      </c>
      <c r="P53" s="4" t="s">
        <v>16</v>
      </c>
      <c r="Q53" s="4" t="s">
        <v>27</v>
      </c>
    </row>
    <row r="54" spans="1:17" x14ac:dyDescent="0.25">
      <c r="A54" s="2">
        <v>4.5999999999999996</v>
      </c>
      <c r="B54" s="2">
        <v>0.6</v>
      </c>
      <c r="C54" s="2">
        <v>4.5999999999999996</v>
      </c>
      <c r="D54" s="2">
        <v>0.2</v>
      </c>
      <c r="F54" s="1" t="s">
        <v>21</v>
      </c>
      <c r="G54" s="1">
        <v>-2.6</v>
      </c>
      <c r="H54" s="1">
        <v>2.8</v>
      </c>
      <c r="I54" s="1">
        <f>(H54-G54)/2</f>
        <v>2.7</v>
      </c>
      <c r="J54" s="5">
        <f>1*($J$4*$I$4)/($I$54)</f>
        <v>0.13446296296296295</v>
      </c>
      <c r="K54" s="6">
        <f>(J54-$J$57)^2</f>
        <v>4.728421465550089E-5</v>
      </c>
      <c r="M54" s="1">
        <v>1</v>
      </c>
      <c r="N54" s="1">
        <v>-1.8</v>
      </c>
      <c r="O54" s="1">
        <v>1.8</v>
      </c>
      <c r="P54" s="1">
        <f>(O54-N54)/2</f>
        <v>1.8</v>
      </c>
      <c r="Q54" s="5">
        <f>1.5*($J$4*$I$4)/(P54)</f>
        <v>0.30254166666666665</v>
      </c>
    </row>
    <row r="55" spans="1:17" x14ac:dyDescent="0.25">
      <c r="A55" s="2">
        <v>4.8</v>
      </c>
      <c r="B55" s="2">
        <v>0.3</v>
      </c>
      <c r="C55" s="2">
        <v>4.8</v>
      </c>
      <c r="D55" s="2">
        <v>0.2</v>
      </c>
      <c r="F55" s="1" t="s">
        <v>22</v>
      </c>
      <c r="G55" s="1">
        <v>-3.6</v>
      </c>
      <c r="H55" s="1">
        <v>3.8</v>
      </c>
      <c r="I55" s="1">
        <f>(H55-G55)/2</f>
        <v>3.7</v>
      </c>
      <c r="J55" s="5">
        <f>1.5*($J$4*$I$4)/($I$55)</f>
        <v>0.14718243243243243</v>
      </c>
      <c r="K55" s="6">
        <f t="shared" ref="K55:K56" si="0">(J55-$J$57)^2</f>
        <v>3.4142023607999154E-5</v>
      </c>
      <c r="M55" s="1">
        <v>2</v>
      </c>
      <c r="N55" s="1">
        <v>-3.4</v>
      </c>
      <c r="O55" s="1">
        <v>3.4</v>
      </c>
      <c r="P55" s="1">
        <f>(O55-N55)/2</f>
        <v>3.4</v>
      </c>
      <c r="Q55" s="5">
        <f>2.5*($J$4*$I$4)/(P55)</f>
        <v>0.26694852941176467</v>
      </c>
    </row>
    <row r="56" spans="1:17" x14ac:dyDescent="0.25">
      <c r="A56" s="2">
        <v>5</v>
      </c>
      <c r="B56" s="2">
        <v>0.2</v>
      </c>
      <c r="C56" s="2">
        <v>5</v>
      </c>
      <c r="D56" s="2">
        <v>0.1</v>
      </c>
      <c r="F56" s="1" t="s">
        <v>23</v>
      </c>
      <c r="G56" s="1">
        <v>-5</v>
      </c>
      <c r="H56" s="1">
        <v>5.2</v>
      </c>
      <c r="I56" s="1">
        <f>(H56-G56)/2</f>
        <v>5.0999999999999996</v>
      </c>
      <c r="J56" s="5">
        <f>2*($J$4*$I$4)/($I$56)</f>
        <v>0.14237254901960786</v>
      </c>
      <c r="K56" s="7">
        <f t="shared" si="0"/>
        <v>1.0675729422341278E-6</v>
      </c>
      <c r="L56" s="1" t="s">
        <v>30</v>
      </c>
      <c r="P56" s="1" t="s">
        <v>28</v>
      </c>
      <c r="Q56" s="5">
        <f>AVERAGE(Q54:Q55)</f>
        <v>0.28474509803921566</v>
      </c>
    </row>
    <row r="57" spans="1:17" x14ac:dyDescent="0.25">
      <c r="A57" s="2">
        <v>5.2</v>
      </c>
      <c r="B57" s="2">
        <v>0.1</v>
      </c>
      <c r="C57" s="2">
        <v>5.2</v>
      </c>
      <c r="D57" s="2">
        <v>0.1</v>
      </c>
      <c r="I57" s="1" t="s">
        <v>28</v>
      </c>
      <c r="J57" s="8">
        <f>AVERAGE(J54:J56)</f>
        <v>0.14133931480500106</v>
      </c>
      <c r="K57" s="6">
        <f>SUM(K54:K56)</f>
        <v>8.2493811205734175E-5</v>
      </c>
      <c r="L57" s="9">
        <f>SQRT(K57/(3*2))</f>
        <v>3.7079601581312912E-3</v>
      </c>
    </row>
    <row r="58" spans="1:17" x14ac:dyDescent="0.25">
      <c r="A58" s="2">
        <v>5.4</v>
      </c>
      <c r="B58" s="2">
        <v>0.2</v>
      </c>
      <c r="C58" s="2">
        <v>5.4</v>
      </c>
      <c r="D58" s="2">
        <v>0.1</v>
      </c>
    </row>
    <row r="59" spans="1:17" x14ac:dyDescent="0.25">
      <c r="A59" s="2">
        <v>5.6</v>
      </c>
      <c r="B59" s="2">
        <v>0.4</v>
      </c>
      <c r="C59" s="2">
        <v>5.6</v>
      </c>
      <c r="D59" s="2">
        <v>0.1</v>
      </c>
      <c r="F59" s="4" t="s">
        <v>13</v>
      </c>
      <c r="G59" s="4" t="s">
        <v>17</v>
      </c>
      <c r="H59" s="4" t="s">
        <v>18</v>
      </c>
      <c r="I59" s="4" t="s">
        <v>19</v>
      </c>
      <c r="J59" s="4" t="s">
        <v>20</v>
      </c>
    </row>
    <row r="60" spans="1:17" x14ac:dyDescent="0.25">
      <c r="F60" s="1" t="s">
        <v>24</v>
      </c>
      <c r="G60" s="1">
        <v>2.2000000000000002</v>
      </c>
      <c r="H60" s="1">
        <v>2.1</v>
      </c>
      <c r="I60" s="5">
        <f>($G$60+$H$60)/(2*49.6)</f>
        <v>4.334677419354839E-2</v>
      </c>
      <c r="J60" s="5">
        <f>1/(PI()^2*(1.5)^2)</f>
        <v>4.5031637174372342E-2</v>
      </c>
    </row>
  </sheetData>
  <mergeCells count="2">
    <mergeCell ref="A1:B1"/>
    <mergeCell ref="C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2015-06-05T18:17:20Z</dcterms:created>
  <dcterms:modified xsi:type="dcterms:W3CDTF">2023-10-23T02:48:16Z</dcterms:modified>
</cp:coreProperties>
</file>