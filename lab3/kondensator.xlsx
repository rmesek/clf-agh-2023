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robert\Desktop\Fizyka\lab3\"/>
    </mc:Choice>
  </mc:AlternateContent>
  <xr:revisionPtr revIDLastSave="0" documentId="13_ncr:1_{045D9EAA-44DF-43A9-B19D-00701DBF46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1" i="1"/>
  <c r="F11" i="1"/>
  <c r="M18" i="1"/>
  <c r="E8" i="1"/>
  <c r="G6" i="1"/>
  <c r="E6" i="1"/>
  <c r="E4" i="1"/>
  <c r="G4" i="1" s="1"/>
  <c r="G3" i="1"/>
  <c r="G5" i="1"/>
  <c r="G7" i="1"/>
  <c r="G2" i="1"/>
  <c r="E3" i="1"/>
  <c r="E5" i="1"/>
  <c r="E7" i="1"/>
  <c r="E2" i="1"/>
</calcChain>
</file>

<file path=xl/sharedStrings.xml><?xml version="1.0" encoding="utf-8"?>
<sst xmlns="http://schemas.openxmlformats.org/spreadsheetml/2006/main" count="26" uniqueCount="24">
  <si>
    <t>Liczba przekładek</t>
  </si>
  <si>
    <t>d1 [mm]</t>
  </si>
  <si>
    <t>d2 [mm]</t>
  </si>
  <si>
    <t>d3 [mm]</t>
  </si>
  <si>
    <t>C [pF]</t>
  </si>
  <si>
    <t>Cd [mm*pF]</t>
  </si>
  <si>
    <t>Średnica kondensatora [mm]</t>
  </si>
  <si>
    <t>Średnica przekładki [mm]</t>
  </si>
  <si>
    <t>Materiał</t>
  </si>
  <si>
    <t>d [mm]</t>
  </si>
  <si>
    <t>C [nf]</t>
  </si>
  <si>
    <t>Kabel koncentryczny</t>
  </si>
  <si>
    <t>Średnica zewnętrzna [mm]</t>
  </si>
  <si>
    <t>Średnica wewnętrzna [mm]</t>
  </si>
  <si>
    <t>Długość l [mm]</t>
  </si>
  <si>
    <t>Pojemność kabla C [pF]</t>
  </si>
  <si>
    <t>drewno</t>
  </si>
  <si>
    <t>tekstolit</t>
  </si>
  <si>
    <t>pleksi</t>
  </si>
  <si>
    <t>2R [mm]</t>
  </si>
  <si>
    <t>PCW</t>
  </si>
  <si>
    <t>Ser</t>
  </si>
  <si>
    <t>E_r</t>
  </si>
  <si>
    <t>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</si>
</sst>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2" fontId="0" fillId="2" borderId="1" xfId="0" applyNumberFormat="1" applyFill="1" applyBorder="1"/>
    <xf numFmtId="0" fontId="0" fillId="2" borderId="2" xfId="0" applyFill="1" applyBorder="1"/>
    <xf numFmtId="2" fontId="0" fillId="2" borderId="2" xfId="0" applyNumberFormat="1" applyFill="1" applyBorder="1"/>
    <xf numFmtId="0" fontId="2" fillId="3" borderId="3" xfId="0" applyFont="1" applyFill="1" applyBorder="1"/>
    <xf numFmtId="2" fontId="2" fillId="3" borderId="3" xfId="0" applyNumberFormat="1" applyFont="1" applyFill="1" applyBorder="1"/>
    <xf numFmtId="2" fontId="0" fillId="0" borderId="0" xfId="0" applyNumberFormat="1"/>
    <xf numFmtId="0" fontId="1" fillId="2" borderId="4" xfId="0" applyFont="1" applyFill="1" applyBorder="1"/>
    <xf numFmtId="0" fontId="0" fillId="2" borderId="4" xfId="0" applyFill="1" applyBorder="1"/>
    <xf numFmtId="0" fontId="1" fillId="2" borderId="5" xfId="0" applyFont="1" applyFill="1" applyBorder="1"/>
    <xf numFmtId="0" fontId="1" fillId="3" borderId="5" xfId="0" applyFont="1" applyFill="1" applyBorder="1"/>
    <xf numFmtId="2" fontId="0" fillId="3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Iloczyn</a:t>
            </a:r>
            <a:r>
              <a:rPr lang="pl-PL" baseline="0"/>
              <a:t> </a:t>
            </a:r>
            <a:r>
              <a:rPr lang="en-US" i="1"/>
              <a:t>Cd</a:t>
            </a:r>
            <a:r>
              <a:rPr lang="en-US"/>
              <a:t> </a:t>
            </a:r>
            <a:r>
              <a:rPr lang="pl-PL"/>
              <a:t>w zależności</a:t>
            </a:r>
            <a:r>
              <a:rPr lang="pl-PL" baseline="0"/>
              <a:t> od wysokości okładek </a:t>
            </a:r>
            <a:r>
              <a:rPr lang="pl-PL" i="1" baseline="0"/>
              <a:t>d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Cd [mm*pF]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3.8299999999999996"/>
            <c:dispRSqr val="1"/>
            <c:dispEq val="1"/>
            <c:trendlineLbl>
              <c:layout>
                <c:manualLayout>
                  <c:x val="1.2564304461942257E-2"/>
                  <c:y val="9.1761208420375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Sheet1!$E$2:$E$7</c:f>
              <c:numCache>
                <c:formatCode>0.00</c:formatCode>
                <c:ptCount val="6"/>
                <c:pt idx="0">
                  <c:v>3.8333333333333335</c:v>
                </c:pt>
                <c:pt idx="1">
                  <c:v>7.7433333333333332</c:v>
                </c:pt>
                <c:pt idx="2">
                  <c:v>11.56</c:v>
                </c:pt>
                <c:pt idx="3">
                  <c:v>14.473333333333334</c:v>
                </c:pt>
                <c:pt idx="4">
                  <c:v>17.409999999999997</c:v>
                </c:pt>
                <c:pt idx="5">
                  <c:v>3.85</c:v>
                </c:pt>
              </c:numCache>
            </c:numRef>
          </c:xVal>
          <c:yVal>
            <c:numRef>
              <c:f>Sheet1!$G$2:$G$7</c:f>
              <c:numCache>
                <c:formatCode>0.00</c:formatCode>
                <c:ptCount val="6"/>
                <c:pt idx="0">
                  <c:v>457.31666666666666</c:v>
                </c:pt>
                <c:pt idx="1">
                  <c:v>494.02466666666663</c:v>
                </c:pt>
                <c:pt idx="2">
                  <c:v>515.57600000000002</c:v>
                </c:pt>
                <c:pt idx="3">
                  <c:v>534.06600000000003</c:v>
                </c:pt>
                <c:pt idx="4">
                  <c:v>553.63799999999992</c:v>
                </c:pt>
                <c:pt idx="5">
                  <c:v>458.15000000000003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F-4713-871D-685B417C3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87792"/>
        <c:axId val="1725037424"/>
      </c:scatterChart>
      <c:valAx>
        <c:axId val="95887792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 okładek</a:t>
                </a:r>
                <a:r>
                  <a:rPr lang="pl-PL" baseline="0"/>
                  <a:t> d [mm]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25037424"/>
        <c:crosses val="autoZero"/>
        <c:crossBetween val="midCat"/>
        <c:majorUnit val="1"/>
        <c:minorUnit val="0.1"/>
      </c:valAx>
      <c:valAx>
        <c:axId val="17250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Cd [mm*pF]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9588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12</xdr:row>
      <xdr:rowOff>95250</xdr:rowOff>
    </xdr:from>
    <xdr:to>
      <xdr:col>11</xdr:col>
      <xdr:colOff>819150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89278-5890-4C5D-6322-083C04408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Normal="100" workbookViewId="0">
      <selection activeCell="E19" sqref="E19"/>
    </sheetView>
  </sheetViews>
  <sheetFormatPr defaultRowHeight="15" x14ac:dyDescent="0.25"/>
  <cols>
    <col min="1" max="1" width="16.5703125" bestFit="1" customWidth="1"/>
    <col min="5" max="5" width="12" bestFit="1" customWidth="1"/>
    <col min="6" max="6" width="10" bestFit="1" customWidth="1"/>
    <col min="7" max="7" width="11.7109375" bestFit="1" customWidth="1"/>
    <col min="9" max="9" width="27" bestFit="1" customWidth="1"/>
    <col min="10" max="10" width="25.7109375" bestFit="1" customWidth="1"/>
    <col min="11" max="11" width="14.28515625" bestFit="1" customWidth="1"/>
    <col min="12" max="12" width="21.85546875" bestFit="1" customWidth="1"/>
    <col min="13" max="13" width="9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I1" s="2" t="s">
        <v>6</v>
      </c>
      <c r="J1" s="2" t="s">
        <v>7</v>
      </c>
    </row>
    <row r="2" spans="1:12" x14ac:dyDescent="0.25">
      <c r="A2" s="1">
        <v>1</v>
      </c>
      <c r="B2" s="3">
        <v>3.83</v>
      </c>
      <c r="C2" s="3">
        <v>3.83</v>
      </c>
      <c r="D2" s="3">
        <v>3.84</v>
      </c>
      <c r="E2" s="3">
        <f>AVERAGE(B2:D2)</f>
        <v>3.8333333333333335</v>
      </c>
      <c r="F2" s="3">
        <v>119.3</v>
      </c>
      <c r="G2" s="3">
        <f>E2*F2</f>
        <v>457.31666666666666</v>
      </c>
      <c r="I2" s="1">
        <v>240</v>
      </c>
      <c r="J2" s="1">
        <v>20</v>
      </c>
    </row>
    <row r="3" spans="1:12" x14ac:dyDescent="0.25">
      <c r="A3" s="1">
        <v>2</v>
      </c>
      <c r="B3" s="3">
        <v>7.75</v>
      </c>
      <c r="C3" s="3">
        <v>7.77</v>
      </c>
      <c r="D3" s="3">
        <v>7.71</v>
      </c>
      <c r="E3" s="3">
        <f t="shared" ref="E3:E7" si="0">AVERAGE(B3:D3)</f>
        <v>7.7433333333333332</v>
      </c>
      <c r="F3" s="3">
        <v>63.8</v>
      </c>
      <c r="G3" s="3">
        <f t="shared" ref="G3:G7" si="1">E3*F3</f>
        <v>494.02466666666663</v>
      </c>
    </row>
    <row r="4" spans="1:12" x14ac:dyDescent="0.25">
      <c r="A4" s="1">
        <v>3</v>
      </c>
      <c r="B4" s="3">
        <v>11.59</v>
      </c>
      <c r="C4" s="3">
        <v>11.53</v>
      </c>
      <c r="D4" s="3">
        <v>11.56</v>
      </c>
      <c r="E4" s="3">
        <f t="shared" si="0"/>
        <v>11.56</v>
      </c>
      <c r="F4" s="3">
        <v>44.6</v>
      </c>
      <c r="G4" s="3">
        <f t="shared" si="1"/>
        <v>515.57600000000002</v>
      </c>
    </row>
    <row r="5" spans="1:12" x14ac:dyDescent="0.25">
      <c r="A5" s="1">
        <v>4</v>
      </c>
      <c r="B5" s="3">
        <v>14.55</v>
      </c>
      <c r="C5" s="3">
        <v>14.44</v>
      </c>
      <c r="D5" s="3">
        <v>14.43</v>
      </c>
      <c r="E5" s="3">
        <f t="shared" si="0"/>
        <v>14.473333333333334</v>
      </c>
      <c r="F5" s="3">
        <v>36.9</v>
      </c>
      <c r="G5" s="3">
        <f t="shared" si="1"/>
        <v>534.06600000000003</v>
      </c>
    </row>
    <row r="6" spans="1:12" x14ac:dyDescent="0.25">
      <c r="A6" s="1">
        <v>5</v>
      </c>
      <c r="B6" s="3">
        <v>17.399999999999999</v>
      </c>
      <c r="C6" s="3">
        <v>17.34</v>
      </c>
      <c r="D6" s="3">
        <v>17.489999999999998</v>
      </c>
      <c r="E6" s="3">
        <f t="shared" si="0"/>
        <v>17.409999999999997</v>
      </c>
      <c r="F6" s="3">
        <v>31.8</v>
      </c>
      <c r="G6" s="3">
        <f t="shared" si="1"/>
        <v>553.63799999999992</v>
      </c>
    </row>
    <row r="7" spans="1:12" x14ac:dyDescent="0.25">
      <c r="A7" s="4">
        <v>1</v>
      </c>
      <c r="B7" s="5">
        <v>3.84</v>
      </c>
      <c r="C7" s="5">
        <v>3.84</v>
      </c>
      <c r="D7" s="5">
        <v>3.87</v>
      </c>
      <c r="E7" s="5">
        <f t="shared" si="0"/>
        <v>3.85</v>
      </c>
      <c r="F7" s="5">
        <v>119</v>
      </c>
      <c r="G7" s="5">
        <f t="shared" si="1"/>
        <v>458.15000000000003</v>
      </c>
    </row>
    <row r="8" spans="1:12" x14ac:dyDescent="0.25">
      <c r="A8" s="6"/>
      <c r="B8" s="6"/>
      <c r="C8" s="6"/>
      <c r="D8" s="6"/>
      <c r="E8" s="7">
        <f>AVEDEV(E2:E7)</f>
        <v>4.6694444444444443</v>
      </c>
      <c r="F8" s="6"/>
      <c r="G8" s="7"/>
    </row>
    <row r="10" spans="1:12" x14ac:dyDescent="0.25">
      <c r="A10" s="2" t="s">
        <v>8</v>
      </c>
      <c r="B10" s="2" t="s">
        <v>9</v>
      </c>
      <c r="C10" s="2" t="s">
        <v>10</v>
      </c>
      <c r="D10" s="9" t="s">
        <v>19</v>
      </c>
      <c r="E10" s="12" t="s">
        <v>22</v>
      </c>
      <c r="F10" s="11" t="s">
        <v>23</v>
      </c>
      <c r="I10" s="2" t="s">
        <v>11</v>
      </c>
    </row>
    <row r="11" spans="1:12" x14ac:dyDescent="0.25">
      <c r="A11" s="1" t="s">
        <v>18</v>
      </c>
      <c r="B11" s="1">
        <v>2.88</v>
      </c>
      <c r="C11" s="1">
        <v>0.44</v>
      </c>
      <c r="D11" s="10">
        <v>260</v>
      </c>
      <c r="E11" s="13">
        <f>(C11*(10^-9)*B11*(10^-3))/($F$11*PI()*0.12^2)</f>
        <v>3.1636853381718528</v>
      </c>
      <c r="F11">
        <f>8.854*10^-12</f>
        <v>8.8539999999999992E-12</v>
      </c>
      <c r="I11" s="2" t="s">
        <v>12</v>
      </c>
      <c r="J11" s="2" t="s">
        <v>13</v>
      </c>
      <c r="K11" s="2" t="s">
        <v>14</v>
      </c>
      <c r="L11" s="2" t="s">
        <v>15</v>
      </c>
    </row>
    <row r="12" spans="1:12" x14ac:dyDescent="0.25">
      <c r="A12" s="1" t="s">
        <v>18</v>
      </c>
      <c r="B12" s="1">
        <v>9.9499999999999993</v>
      </c>
      <c r="C12" s="1">
        <v>0.14000000000000001</v>
      </c>
      <c r="D12" s="10">
        <v>267</v>
      </c>
      <c r="E12" s="13">
        <f t="shared" ref="E12:E15" si="2">(C12*(10^-9)*B12*(10^-3))/($F$11*PI()*0.12^2)</f>
        <v>3.4777570044771084</v>
      </c>
      <c r="I12" s="1">
        <v>4.45</v>
      </c>
      <c r="J12" s="1">
        <v>1.05</v>
      </c>
      <c r="K12" s="1">
        <v>545</v>
      </c>
      <c r="L12" s="1">
        <v>35.200000000000003</v>
      </c>
    </row>
    <row r="13" spans="1:12" x14ac:dyDescent="0.25">
      <c r="A13" s="1" t="s">
        <v>16</v>
      </c>
      <c r="B13" s="1">
        <v>12.11</v>
      </c>
      <c r="C13" s="1">
        <v>0.13</v>
      </c>
      <c r="D13" s="10">
        <v>240</v>
      </c>
      <c r="E13" s="13">
        <f t="shared" si="2"/>
        <v>3.9303897000346812</v>
      </c>
    </row>
    <row r="14" spans="1:12" x14ac:dyDescent="0.25">
      <c r="A14" s="1" t="s">
        <v>17</v>
      </c>
      <c r="B14" s="1">
        <v>6.37</v>
      </c>
      <c r="C14" s="1">
        <v>0.46</v>
      </c>
      <c r="D14" s="10">
        <v>260</v>
      </c>
      <c r="E14" s="13">
        <f t="shared" si="2"/>
        <v>7.3155230254980781</v>
      </c>
    </row>
    <row r="15" spans="1:12" x14ac:dyDescent="0.25">
      <c r="A15" s="1" t="s">
        <v>20</v>
      </c>
      <c r="B15" s="1">
        <v>3.28</v>
      </c>
      <c r="C15" s="1">
        <v>0.37</v>
      </c>
      <c r="D15" s="10">
        <v>240</v>
      </c>
      <c r="E15" s="13">
        <f t="shared" si="2"/>
        <v>3.0298678396506951</v>
      </c>
    </row>
    <row r="17" spans="13:13" x14ac:dyDescent="0.25">
      <c r="M17" t="s">
        <v>21</v>
      </c>
    </row>
    <row r="18" spans="13:13" x14ac:dyDescent="0.25">
      <c r="M18" s="8">
        <f>SQRT(1-0.9968)*423.48</f>
        <v>23.955646375750259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2015-06-05T18:17:20Z</dcterms:created>
  <dcterms:modified xsi:type="dcterms:W3CDTF">2023-10-31T12:45:17Z</dcterms:modified>
</cp:coreProperties>
</file>