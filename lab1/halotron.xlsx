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obert\Desktop\Fizyka\lab1\"/>
    </mc:Choice>
  </mc:AlternateContent>
  <xr:revisionPtr revIDLastSave="0" documentId="13_ncr:1_{076A7C21-33C3-405B-B5BC-040685A40C3B}" xr6:coauthVersionLast="47" xr6:coauthVersionMax="47" xr10:uidLastSave="{00000000-0000-0000-0000-000000000000}"/>
  <bookViews>
    <workbookView xWindow="2340" yWindow="2340" windowWidth="21600" windowHeight="11385" activeTab="1" xr2:uid="{60CE0759-72AD-43E7-B77B-57F1F8CE60EB}"/>
  </bookViews>
  <sheets>
    <sheet name="Cechowanie halotronu" sheetId="1" r:id="rId1"/>
    <sheet name="Rozkład pola" sheetId="2" r:id="rId2"/>
    <sheet name="Magnes stał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" i="2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G4" i="2"/>
  <c r="J2" i="2"/>
  <c r="D2" i="2" s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3" i="2"/>
  <c r="P11" i="1"/>
  <c r="O11" i="1"/>
  <c r="P9" i="1"/>
  <c r="P10" i="1"/>
  <c r="P8" i="1"/>
  <c r="Q3" i="1"/>
  <c r="O9" i="1"/>
  <c r="O10" i="1"/>
  <c r="O8" i="1"/>
  <c r="D16" i="2" l="1"/>
  <c r="D8" i="2"/>
  <c r="D15" i="2"/>
  <c r="D22" i="2"/>
  <c r="D14" i="2"/>
  <c r="D7" i="2"/>
  <c r="D21" i="2"/>
  <c r="D13" i="2"/>
  <c r="D6" i="2"/>
  <c r="D20" i="2"/>
  <c r="D12" i="2"/>
  <c r="D5" i="2"/>
  <c r="D19" i="2"/>
  <c r="D11" i="2"/>
  <c r="D4" i="2"/>
  <c r="D3" i="2"/>
  <c r="D18" i="2"/>
  <c r="D10" i="2"/>
  <c r="D17" i="2"/>
  <c r="D9" i="2"/>
</calcChain>
</file>

<file path=xl/sharedStrings.xml><?xml version="1.0" encoding="utf-8"?>
<sst xmlns="http://schemas.openxmlformats.org/spreadsheetml/2006/main" count="33" uniqueCount="25">
  <si>
    <t>Prąd cewki [A]</t>
  </si>
  <si>
    <t>Prąd halotronu [mA]</t>
  </si>
  <si>
    <t>Napięcie Halla [mV]</t>
  </si>
  <si>
    <t>I_H [mA]</t>
  </si>
  <si>
    <t>R [Ohm]</t>
  </si>
  <si>
    <t>c [Ohm/T]</t>
  </si>
  <si>
    <t>y = 0.6982x + 8.1091</t>
  </si>
  <si>
    <t>y = 0.3582x + 4.2091</t>
  </si>
  <si>
    <t>y = 0.5345x + 6.2545</t>
  </si>
  <si>
    <t>a</t>
  </si>
  <si>
    <t>b</t>
  </si>
  <si>
    <t>mi_0</t>
  </si>
  <si>
    <t>AVG</t>
  </si>
  <si>
    <t>x [cm]</t>
  </si>
  <si>
    <t>U [mV]</t>
  </si>
  <si>
    <t>B [mT]</t>
  </si>
  <si>
    <t>B teoretyczne [mT]</t>
  </si>
  <si>
    <t>u(B) [mT]</t>
  </si>
  <si>
    <t>I [mA]</t>
  </si>
  <si>
    <t>R [mOhm]</t>
  </si>
  <si>
    <t>u(U) [mV]</t>
  </si>
  <si>
    <t>u(I) [mA]</t>
  </si>
  <si>
    <t>u(c) [Ohm/Tesla]</t>
  </si>
  <si>
    <t>U(R) [mOhm]</t>
  </si>
  <si>
    <t>\infty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</si>
</sst>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1" fillId="2" borderId="1" xfId="0" applyFont="1" applyFill="1" applyBorder="1"/>
    <xf numFmtId="2" fontId="0" fillId="3" borderId="1" xfId="0" applyNumberFormat="1" applyFill="1" applyBorder="1"/>
    <xf numFmtId="0" fontId="1" fillId="3" borderId="1" xfId="0" applyFont="1" applyFill="1" applyBorder="1"/>
    <xf numFmtId="0" fontId="1" fillId="2" borderId="2" xfId="0" applyFont="1" applyFill="1" applyBorder="1"/>
    <xf numFmtId="2" fontId="0" fillId="2" borderId="1" xfId="0" applyNumberForma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Napięcie</a:t>
            </a:r>
            <a:r>
              <a:rPr lang="pl-PL" baseline="0"/>
              <a:t> Halla [mV]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title>
    <c:autoTitleDeleted val="0"/>
    <c:plotArea>
      <c:layout>
        <c:manualLayout>
          <c:layoutTarget val="inner"/>
          <c:xMode val="edge"/>
          <c:yMode val="edge"/>
          <c:x val="8.1271166946828274E-2"/>
          <c:y val="0.14985858585858586"/>
          <c:w val="0.75954973605837461"/>
          <c:h val="0.66398631989183166"/>
        </c:manualLayout>
      </c:layout>
      <c:scatterChart>
        <c:scatterStyle val="lineMarker"/>
        <c:varyColors val="0"/>
        <c:ser>
          <c:idx val="2"/>
          <c:order val="2"/>
          <c:tx>
            <c:v>5.0 mA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6041719870236237"/>
                  <c:y val="-1.670245764733953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150"/>
                </a:p>
              </c:txPr>
            </c:trendlineLbl>
          </c:trendline>
          <c:xVal>
            <c:numRef>
              <c:f>'Cechowanie halotronu'!$B$1:$L$1</c:f>
              <c:numCache>
                <c:formatCode>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'Cechowanie halotronu'!$B$3:$L$3</c:f>
              <c:numCache>
                <c:formatCode>0.0</c:formatCode>
                <c:ptCount val="11"/>
                <c:pt idx="0">
                  <c:v>4.2</c:v>
                </c:pt>
                <c:pt idx="1">
                  <c:v>4.5999999999999996</c:v>
                </c:pt>
                <c:pt idx="2">
                  <c:v>4.9000000000000004</c:v>
                </c:pt>
                <c:pt idx="3">
                  <c:v>5.3</c:v>
                </c:pt>
                <c:pt idx="4">
                  <c:v>5.6</c:v>
                </c:pt>
                <c:pt idx="5">
                  <c:v>6</c:v>
                </c:pt>
                <c:pt idx="6">
                  <c:v>6.4</c:v>
                </c:pt>
                <c:pt idx="7">
                  <c:v>6.7</c:v>
                </c:pt>
                <c:pt idx="8">
                  <c:v>7.1</c:v>
                </c:pt>
                <c:pt idx="9">
                  <c:v>7.4</c:v>
                </c:pt>
                <c:pt idx="10">
                  <c:v>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89-4217-A39E-D807C3F1C059}"/>
            </c:ext>
          </c:extLst>
        </c:ser>
        <c:ser>
          <c:idx val="3"/>
          <c:order val="3"/>
          <c:tx>
            <c:v>7.5 mA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5868559720685863"/>
                  <c:y val="-5.212439354171674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150"/>
                </a:p>
              </c:txPr>
            </c:trendlineLbl>
          </c:trendline>
          <c:xVal>
            <c:numRef>
              <c:f>'Cechowanie halotronu'!$B$1:$L$1</c:f>
              <c:numCache>
                <c:formatCode>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'Cechowanie halotronu'!$B$4:$L$4</c:f>
              <c:numCache>
                <c:formatCode>0.0</c:formatCode>
                <c:ptCount val="11"/>
                <c:pt idx="0">
                  <c:v>6.3</c:v>
                </c:pt>
                <c:pt idx="1">
                  <c:v>6.8</c:v>
                </c:pt>
                <c:pt idx="2">
                  <c:v>7.3</c:v>
                </c:pt>
                <c:pt idx="3">
                  <c:v>7.8</c:v>
                </c:pt>
                <c:pt idx="4">
                  <c:v>8.4</c:v>
                </c:pt>
                <c:pt idx="5">
                  <c:v>8.9</c:v>
                </c:pt>
                <c:pt idx="6">
                  <c:v>9.5</c:v>
                </c:pt>
                <c:pt idx="7">
                  <c:v>10</c:v>
                </c:pt>
                <c:pt idx="8">
                  <c:v>10.5</c:v>
                </c:pt>
                <c:pt idx="9">
                  <c:v>11.1</c:v>
                </c:pt>
                <c:pt idx="10">
                  <c:v>11.6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89-4217-A39E-D807C3F1C059}"/>
            </c:ext>
          </c:extLst>
        </c:ser>
        <c:ser>
          <c:idx val="4"/>
          <c:order val="4"/>
          <c:tx>
            <c:v>10 mA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5868559720685863"/>
                  <c:y val="-8.444444444444443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150"/>
                </a:p>
              </c:txPr>
            </c:trendlineLbl>
          </c:trendline>
          <c:xVal>
            <c:numRef>
              <c:f>'Cechowanie halotronu'!$B$1:$L$1</c:f>
              <c:numCache>
                <c:formatCode>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'Cechowanie halotronu'!$B$5:$L$5</c:f>
              <c:numCache>
                <c:formatCode>0.0</c:formatCode>
                <c:ptCount val="11"/>
                <c:pt idx="0">
                  <c:v>8.1999999999999993</c:v>
                </c:pt>
                <c:pt idx="1">
                  <c:v>8.8000000000000007</c:v>
                </c:pt>
                <c:pt idx="2">
                  <c:v>9.4</c:v>
                </c:pt>
                <c:pt idx="3">
                  <c:v>10.199999999999999</c:v>
                </c:pt>
                <c:pt idx="4">
                  <c:v>10.9</c:v>
                </c:pt>
                <c:pt idx="5">
                  <c:v>11.6</c:v>
                </c:pt>
                <c:pt idx="6">
                  <c:v>12.3</c:v>
                </c:pt>
                <c:pt idx="7">
                  <c:v>13</c:v>
                </c:pt>
                <c:pt idx="8">
                  <c:v>13.7</c:v>
                </c:pt>
                <c:pt idx="9">
                  <c:v>14.4</c:v>
                </c:pt>
                <c:pt idx="10">
                  <c:v>15.1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189-4217-A39E-D807C3F1C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055488"/>
        <c:axId val="49673065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'Cechowanie halotronu'!$A$1:$L$1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 formatCode="General">
                        <c:v>0</c:v>
                      </c:pt>
                      <c:pt idx="1">
                        <c:v>0</c:v>
                      </c:pt>
                      <c:pt idx="2">
                        <c:v>1</c:v>
                      </c:pt>
                      <c:pt idx="3">
                        <c:v>2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5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9</c:v>
                      </c:pt>
                      <c:pt idx="11">
                        <c:v>10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5189-4217-A39E-D807C3F1C059}"/>
                  </c:ext>
                </c:extLst>
              </c15:ser>
            </c15:filteredScatterSeries>
            <c15:filteredScatterSeries>
              <c15:ser>
                <c:idx val="1"/>
                <c:order val="1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'Cechowanie halotronu'!$A$2:$L$2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189-4217-A39E-D807C3F1C059}"/>
                  </c:ext>
                </c:extLst>
              </c15:ser>
            </c15:filteredScatterSeries>
          </c:ext>
        </c:extLst>
      </c:scatterChart>
      <c:valAx>
        <c:axId val="487055488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Prąd cewki [A]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496730656"/>
        <c:crosses val="autoZero"/>
        <c:crossBetween val="midCat"/>
        <c:majorUnit val="1"/>
        <c:minorUnit val="1"/>
      </c:valAx>
      <c:valAx>
        <c:axId val="49673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Zmierzone</a:t>
                </a:r>
                <a:r>
                  <a:rPr lang="pl-PL" baseline="0"/>
                  <a:t> napięcie [mV]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487055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87208768829973227"/>
          <c:y val="0.59184760995784624"/>
          <c:w val="7.223463315962371E-2"/>
          <c:h val="0.160102441740237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150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Natężenie pola magnetycznego w zależności od odległości od środka</a:t>
            </a:r>
            <a:r>
              <a:rPr lang="pl-PL" baseline="0"/>
              <a:t> cewki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'Rozkład pola'!$C$1</c:f>
              <c:strCache>
                <c:ptCount val="1"/>
                <c:pt idx="0">
                  <c:v>B [mT]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0"/>
          </c:trendline>
          <c:errBars>
            <c:errDir val="y"/>
            <c:errBarType val="both"/>
            <c:errValType val="fixedVal"/>
            <c:noEndCap val="0"/>
            <c:val val="0.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'Rozkład pola'!$A$2:$A$22</c:f>
              <c:numCache>
                <c:formatCode>0.0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'Rozkład pola'!$C$2:$C$22</c:f>
              <c:numCache>
                <c:formatCode>0.00</c:formatCode>
                <c:ptCount val="21"/>
                <c:pt idx="0">
                  <c:v>7.9999999999999982</c:v>
                </c:pt>
                <c:pt idx="1">
                  <c:v>7.8855655208914435</c:v>
                </c:pt>
                <c:pt idx="2">
                  <c:v>7.6566965626743331</c:v>
                </c:pt>
                <c:pt idx="3">
                  <c:v>7.3133931253486661</c:v>
                </c:pt>
                <c:pt idx="4">
                  <c:v>6.7412207298058888</c:v>
                </c:pt>
                <c:pt idx="5">
                  <c:v>6.1690483342631133</c:v>
                </c:pt>
                <c:pt idx="6">
                  <c:v>5.4824414596117803</c:v>
                </c:pt>
                <c:pt idx="7">
                  <c:v>4.910269064069003</c:v>
                </c:pt>
                <c:pt idx="8">
                  <c:v>4.3380966685262257</c:v>
                </c:pt>
                <c:pt idx="9">
                  <c:v>3.7659242729834506</c:v>
                </c:pt>
                <c:pt idx="10">
                  <c:v>3.3081863565492289</c:v>
                </c:pt>
                <c:pt idx="11">
                  <c:v>2.9648829192235597</c:v>
                </c:pt>
                <c:pt idx="12">
                  <c:v>2.5071450027893403</c:v>
                </c:pt>
                <c:pt idx="13">
                  <c:v>2.2782760445722294</c:v>
                </c:pt>
                <c:pt idx="14">
                  <c:v>1.9349726072465638</c:v>
                </c:pt>
                <c:pt idx="15">
                  <c:v>1.7061036490294517</c:v>
                </c:pt>
                <c:pt idx="16">
                  <c:v>1.4772346908123419</c:v>
                </c:pt>
                <c:pt idx="17">
                  <c:v>1.3628002117037865</c:v>
                </c:pt>
                <c:pt idx="18">
                  <c:v>1.1339312534866743</c:v>
                </c:pt>
                <c:pt idx="19">
                  <c:v>1.01949677437812</c:v>
                </c:pt>
                <c:pt idx="20">
                  <c:v>0.9050622952695645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A2-4474-B668-E95D24446D8F}"/>
            </c:ext>
          </c:extLst>
        </c:ser>
        <c:ser>
          <c:idx val="3"/>
          <c:order val="3"/>
          <c:tx>
            <c:strRef>
              <c:f>'Rozkład pola'!$E$1</c:f>
              <c:strCache>
                <c:ptCount val="1"/>
                <c:pt idx="0">
                  <c:v>B teoretyczne [mT]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'Rozkład pola'!$A$2:$A$22</c:f>
              <c:numCache>
                <c:formatCode>0.0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xVal>
          <c:yVal>
            <c:numRef>
              <c:f>'Rozkład pola'!$E$2:$E$22</c:f>
              <c:numCache>
                <c:formatCode>0.00</c:formatCode>
                <c:ptCount val="21"/>
                <c:pt idx="0">
                  <c:v>8</c:v>
                </c:pt>
                <c:pt idx="1">
                  <c:v>7.9018411791863725</c:v>
                </c:pt>
                <c:pt idx="2">
                  <c:v>7.6190885838136841</c:v>
                </c:pt>
                <c:pt idx="3">
                  <c:v>7.1837798381394204</c:v>
                </c:pt>
                <c:pt idx="4">
                  <c:v>6.6402922185168398</c:v>
                </c:pt>
                <c:pt idx="5">
                  <c:v>6.0358544533137088</c:v>
                </c:pt>
                <c:pt idx="6">
                  <c:v>5.4127574177141664</c:v>
                </c:pt>
                <c:pt idx="7">
                  <c:v>4.803907765439293</c:v>
                </c:pt>
                <c:pt idx="8">
                  <c:v>4.2316569167864131</c:v>
                </c:pt>
                <c:pt idx="9">
                  <c:v>3.7088646813307671</c:v>
                </c:pt>
                <c:pt idx="10">
                  <c:v>3.2410044843768029</c:v>
                </c:pt>
                <c:pt idx="11">
                  <c:v>2.8284271247461903</c:v>
                </c:pt>
                <c:pt idx="12">
                  <c:v>2.4683073222822309</c:v>
                </c:pt>
                <c:pt idx="13">
                  <c:v>2.1561106542732968</c:v>
                </c:pt>
                <c:pt idx="14">
                  <c:v>1.886597041861459</c:v>
                </c:pt>
                <c:pt idx="15">
                  <c:v>1.6544509433278525</c:v>
                </c:pt>
                <c:pt idx="16">
                  <c:v>1.4546416460336311</c:v>
                </c:pt>
                <c:pt idx="17">
                  <c:v>1.2826030176981498</c:v>
                </c:pt>
                <c:pt idx="18">
                  <c:v>1.1343002452841522</c:v>
                </c:pt>
                <c:pt idx="19">
                  <c:v>1.0062305184323028</c:v>
                </c:pt>
                <c:pt idx="20">
                  <c:v>0.89538838729260428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A2-4474-B668-E95D24446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535696"/>
        <c:axId val="208073878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'Rozkład pola'!$B$1</c15:sqref>
                        </c15:formulaRef>
                      </c:ext>
                    </c:extLst>
                    <c:strCache>
                      <c:ptCount val="1"/>
                      <c:pt idx="0">
                        <c:v>U [mV]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'Rozkład pola'!$A$2:$A$22</c15:sqref>
                        </c15:formulaRef>
                      </c:ext>
                    </c:extLst>
                    <c:numCache>
                      <c:formatCode>0.0</c:formatCode>
                      <c:ptCount val="21"/>
                      <c:pt idx="0">
                        <c:v>0</c:v>
                      </c:pt>
                      <c:pt idx="1">
                        <c:v>0.5</c:v>
                      </c:pt>
                      <c:pt idx="2">
                        <c:v>1</c:v>
                      </c:pt>
                      <c:pt idx="3">
                        <c:v>1.5</c:v>
                      </c:pt>
                      <c:pt idx="4">
                        <c:v>2</c:v>
                      </c:pt>
                      <c:pt idx="5">
                        <c:v>2.5</c:v>
                      </c:pt>
                      <c:pt idx="6">
                        <c:v>3</c:v>
                      </c:pt>
                      <c:pt idx="7">
                        <c:v>3.5</c:v>
                      </c:pt>
                      <c:pt idx="8">
                        <c:v>4</c:v>
                      </c:pt>
                      <c:pt idx="9">
                        <c:v>4.5</c:v>
                      </c:pt>
                      <c:pt idx="10">
                        <c:v>5</c:v>
                      </c:pt>
                      <c:pt idx="11">
                        <c:v>5.5</c:v>
                      </c:pt>
                      <c:pt idx="12">
                        <c:v>6</c:v>
                      </c:pt>
                      <c:pt idx="13">
                        <c:v>6.5</c:v>
                      </c:pt>
                      <c:pt idx="14">
                        <c:v>7</c:v>
                      </c:pt>
                      <c:pt idx="15">
                        <c:v>7.5</c:v>
                      </c:pt>
                      <c:pt idx="16">
                        <c:v>8</c:v>
                      </c:pt>
                      <c:pt idx="17">
                        <c:v>8.5</c:v>
                      </c:pt>
                      <c:pt idx="18">
                        <c:v>9</c:v>
                      </c:pt>
                      <c:pt idx="19">
                        <c:v>9.5</c:v>
                      </c:pt>
                      <c:pt idx="20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'Rozkład pola'!$B$2:$B$22</c15:sqref>
                        </c15:formulaRef>
                      </c:ext>
                    </c:extLst>
                    <c:numCache>
                      <c:formatCode>0.0</c:formatCode>
                      <c:ptCount val="21"/>
                      <c:pt idx="0">
                        <c:v>15.1</c:v>
                      </c:pt>
                      <c:pt idx="1">
                        <c:v>15</c:v>
                      </c:pt>
                      <c:pt idx="2">
                        <c:v>14.8</c:v>
                      </c:pt>
                      <c:pt idx="3">
                        <c:v>14.5</c:v>
                      </c:pt>
                      <c:pt idx="4">
                        <c:v>14</c:v>
                      </c:pt>
                      <c:pt idx="5">
                        <c:v>13.5</c:v>
                      </c:pt>
                      <c:pt idx="6">
                        <c:v>12.9</c:v>
                      </c:pt>
                      <c:pt idx="7">
                        <c:v>12.4</c:v>
                      </c:pt>
                      <c:pt idx="8">
                        <c:v>11.9</c:v>
                      </c:pt>
                      <c:pt idx="9">
                        <c:v>11.4</c:v>
                      </c:pt>
                      <c:pt idx="10">
                        <c:v>11</c:v>
                      </c:pt>
                      <c:pt idx="11">
                        <c:v>10.7</c:v>
                      </c:pt>
                      <c:pt idx="12">
                        <c:v>10.3</c:v>
                      </c:pt>
                      <c:pt idx="13">
                        <c:v>10.1</c:v>
                      </c:pt>
                      <c:pt idx="14">
                        <c:v>9.8000000000000007</c:v>
                      </c:pt>
                      <c:pt idx="15">
                        <c:v>9.6</c:v>
                      </c:pt>
                      <c:pt idx="16">
                        <c:v>9.4</c:v>
                      </c:pt>
                      <c:pt idx="17">
                        <c:v>9.3000000000000007</c:v>
                      </c:pt>
                      <c:pt idx="18">
                        <c:v>9.1</c:v>
                      </c:pt>
                      <c:pt idx="19">
                        <c:v>9</c:v>
                      </c:pt>
                      <c:pt idx="20">
                        <c:v>8.9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00A2-4474-B668-E95D24446D8F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'Rozkład pola'!$D$1</c15:sqref>
                        </c15:formulaRef>
                      </c:ext>
                    </c:extLst>
                    <c:strCache>
                      <c:ptCount val="1"/>
                      <c:pt idx="0">
                        <c:v>u(B) [mT]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'Rozkład pola'!$A$2:$A$22</c15:sqref>
                        </c15:formulaRef>
                      </c:ext>
                    </c:extLst>
                    <c:numCache>
                      <c:formatCode>0.0</c:formatCode>
                      <c:ptCount val="21"/>
                      <c:pt idx="0">
                        <c:v>0</c:v>
                      </c:pt>
                      <c:pt idx="1">
                        <c:v>0.5</c:v>
                      </c:pt>
                      <c:pt idx="2">
                        <c:v>1</c:v>
                      </c:pt>
                      <c:pt idx="3">
                        <c:v>1.5</c:v>
                      </c:pt>
                      <c:pt idx="4">
                        <c:v>2</c:v>
                      </c:pt>
                      <c:pt idx="5">
                        <c:v>2.5</c:v>
                      </c:pt>
                      <c:pt idx="6">
                        <c:v>3</c:v>
                      </c:pt>
                      <c:pt idx="7">
                        <c:v>3.5</c:v>
                      </c:pt>
                      <c:pt idx="8">
                        <c:v>4</c:v>
                      </c:pt>
                      <c:pt idx="9">
                        <c:v>4.5</c:v>
                      </c:pt>
                      <c:pt idx="10">
                        <c:v>5</c:v>
                      </c:pt>
                      <c:pt idx="11">
                        <c:v>5.5</c:v>
                      </c:pt>
                      <c:pt idx="12">
                        <c:v>6</c:v>
                      </c:pt>
                      <c:pt idx="13">
                        <c:v>6.5</c:v>
                      </c:pt>
                      <c:pt idx="14">
                        <c:v>7</c:v>
                      </c:pt>
                      <c:pt idx="15">
                        <c:v>7.5</c:v>
                      </c:pt>
                      <c:pt idx="16">
                        <c:v>8</c:v>
                      </c:pt>
                      <c:pt idx="17">
                        <c:v>8.5</c:v>
                      </c:pt>
                      <c:pt idx="18">
                        <c:v>9</c:v>
                      </c:pt>
                      <c:pt idx="19">
                        <c:v>9.5</c:v>
                      </c:pt>
                      <c:pt idx="20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'Rozkład pola'!$D$2:$D$22</c15:sqref>
                        </c15:formulaRef>
                      </c:ext>
                    </c:extLst>
                    <c:numCache>
                      <c:formatCode>0.00</c:formatCode>
                      <c:ptCount val="21"/>
                      <c:pt idx="0">
                        <c:v>0.51540414185225247</c:v>
                      </c:pt>
                      <c:pt idx="1">
                        <c:v>0.51540414161391634</c:v>
                      </c:pt>
                      <c:pt idx="2">
                        <c:v>0.5154041411419974</c:v>
                      </c:pt>
                      <c:pt idx="3">
                        <c:v>0.51540414044600269</c:v>
                      </c:pt>
                      <c:pt idx="4">
                        <c:v>0.51540413931770102</c:v>
                      </c:pt>
                      <c:pt idx="5">
                        <c:v>0.51540413822901132</c:v>
                      </c:pt>
                      <c:pt idx="6">
                        <c:v>0.51540413697487164</c:v>
                      </c:pt>
                      <c:pt idx="7">
                        <c:v>0.51540413597332835</c:v>
                      </c:pt>
                      <c:pt idx="8">
                        <c:v>0.51540413501139704</c:v>
                      </c:pt>
                      <c:pt idx="9">
                        <c:v>0.5154041340890777</c:v>
                      </c:pt>
                      <c:pt idx="10">
                        <c:v>0.51540413337974278</c:v>
                      </c:pt>
                      <c:pt idx="11">
                        <c:v>0.51540413286437869</c:v>
                      </c:pt>
                      <c:pt idx="12">
                        <c:v>0.51540413219940928</c:v>
                      </c:pt>
                      <c:pt idx="13">
                        <c:v>0.51540413187643142</c:v>
                      </c:pt>
                      <c:pt idx="14">
                        <c:v>0.51540413140384822</c:v>
                      </c:pt>
                      <c:pt idx="15">
                        <c:v>0.51540413109671523</c:v>
                      </c:pt>
                      <c:pt idx="16">
                        <c:v>0.51540413079592007</c:v>
                      </c:pt>
                      <c:pt idx="17">
                        <c:v>0.51540413064789925</c:v>
                      </c:pt>
                      <c:pt idx="18">
                        <c:v>0.51540413035661103</c:v>
                      </c:pt>
                      <c:pt idx="19">
                        <c:v>0.51540413021334353</c:v>
                      </c:pt>
                      <c:pt idx="20">
                        <c:v>0.51540413007166075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0A2-4474-B668-E95D24446D8F}"/>
                  </c:ext>
                </c:extLst>
              </c15:ser>
            </c15:filteredScatterSeries>
          </c:ext>
        </c:extLst>
      </c:scatterChart>
      <c:valAx>
        <c:axId val="2088535696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Odległość</a:t>
                </a:r>
                <a:r>
                  <a:rPr lang="pl-PL" baseline="0"/>
                  <a:t> od środka cewki [cm]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2080738784"/>
        <c:crosses val="autoZero"/>
        <c:crossBetween val="midCat"/>
        <c:majorUnit val="0.5"/>
      </c:valAx>
      <c:valAx>
        <c:axId val="20807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Pole</a:t>
                </a:r>
                <a:r>
                  <a:rPr lang="pl-PL" baseline="0"/>
                  <a:t> magnetyczne [mT]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2088535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150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obliczonego</a:t>
            </a:r>
            <a:r>
              <a:rPr lang="pl-PL" baseline="0"/>
              <a:t> pola magnetycznego w zależności od odległości magnesu od halotronu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150"/>
        </a:p>
      </c:txPr>
    </c:title>
    <c:autoTitleDeleted val="0"/>
    <c:plotArea>
      <c:layout>
        <c:manualLayout>
          <c:layoutTarget val="inner"/>
          <c:xMode val="edge"/>
          <c:yMode val="edge"/>
          <c:x val="0.11856327337720317"/>
          <c:y val="0.23043058342553871"/>
          <c:w val="0.8209007989129673"/>
          <c:h val="0.65811791213118975"/>
        </c:manualLayout>
      </c:layout>
      <c:scatterChart>
        <c:scatterStyle val="lineMarker"/>
        <c:varyColors val="0"/>
        <c:ser>
          <c:idx val="1"/>
          <c:order val="1"/>
          <c:tx>
            <c:strRef>
              <c:f>'Magnes stały'!$C$1</c:f>
              <c:strCache>
                <c:ptCount val="1"/>
                <c:pt idx="0">
                  <c:v>B [mT]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'Magnes stały'!$A$2:$A$20</c:f>
              <c:numCache>
                <c:formatCode>0.00</c:formatCode>
                <c:ptCount val="19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8.5</c:v>
                </c:pt>
                <c:pt idx="16">
                  <c:v>9</c:v>
                </c:pt>
                <c:pt idx="17">
                  <c:v>9.5</c:v>
                </c:pt>
                <c:pt idx="18">
                  <c:v>10</c:v>
                </c:pt>
              </c:numCache>
            </c:numRef>
          </c:xVal>
          <c:yVal>
            <c:numRef>
              <c:f>'Magnes stały'!$C$2:$C$20</c:f>
              <c:numCache>
                <c:formatCode>0.00</c:formatCode>
                <c:ptCount val="19"/>
                <c:pt idx="0">
                  <c:v>5.664234041867112</c:v>
                </c:pt>
                <c:pt idx="1">
                  <c:v>-0.2342798073509828</c:v>
                </c:pt>
                <c:pt idx="2">
                  <c:v>-3.8993757913311584</c:v>
                </c:pt>
                <c:pt idx="3">
                  <c:v>-5.7319237833212462</c:v>
                </c:pt>
                <c:pt idx="4">
                  <c:v>-6.8772662783150507</c:v>
                </c:pt>
                <c:pt idx="5">
                  <c:v>-7.5644717753113335</c:v>
                </c:pt>
                <c:pt idx="6">
                  <c:v>-8.0226087733088569</c:v>
                </c:pt>
                <c:pt idx="7">
                  <c:v>-8.3662115218069992</c:v>
                </c:pt>
                <c:pt idx="8">
                  <c:v>-8.5952800208057596</c:v>
                </c:pt>
                <c:pt idx="9">
                  <c:v>-8.767081395054829</c:v>
                </c:pt>
                <c:pt idx="10">
                  <c:v>-8.8816156445542092</c:v>
                </c:pt>
                <c:pt idx="11">
                  <c:v>-8.9388827693039001</c:v>
                </c:pt>
                <c:pt idx="12">
                  <c:v>-8.9961498940535893</c:v>
                </c:pt>
                <c:pt idx="13">
                  <c:v>-9.0534170188032821</c:v>
                </c:pt>
                <c:pt idx="14">
                  <c:v>-9.1106841435529713</c:v>
                </c:pt>
                <c:pt idx="15">
                  <c:v>-9.1106841435529713</c:v>
                </c:pt>
                <c:pt idx="16">
                  <c:v>-9.1679512683026605</c:v>
                </c:pt>
                <c:pt idx="17">
                  <c:v>-9.1679512683026605</c:v>
                </c:pt>
                <c:pt idx="18">
                  <c:v>-9.2252183930523515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42-4DCE-BD63-6CFF22B4C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1788560"/>
        <c:axId val="49520097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'Magnes stały'!$B$1</c15:sqref>
                        </c15:formulaRef>
                      </c:ext>
                    </c:extLst>
                    <c:strCache>
                      <c:ptCount val="1"/>
                      <c:pt idx="0">
                        <c:v>U [mV]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'Magnes stały'!$A$2:$A$20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>
                        <c:v>1</c:v>
                      </c:pt>
                      <c:pt idx="1">
                        <c:v>1.5</c:v>
                      </c:pt>
                      <c:pt idx="2">
                        <c:v>2</c:v>
                      </c:pt>
                      <c:pt idx="3">
                        <c:v>2.5</c:v>
                      </c:pt>
                      <c:pt idx="4">
                        <c:v>3</c:v>
                      </c:pt>
                      <c:pt idx="5">
                        <c:v>3.5</c:v>
                      </c:pt>
                      <c:pt idx="6">
                        <c:v>4</c:v>
                      </c:pt>
                      <c:pt idx="7">
                        <c:v>4.5</c:v>
                      </c:pt>
                      <c:pt idx="8">
                        <c:v>5</c:v>
                      </c:pt>
                      <c:pt idx="9">
                        <c:v>5.5</c:v>
                      </c:pt>
                      <c:pt idx="10">
                        <c:v>6</c:v>
                      </c:pt>
                      <c:pt idx="11">
                        <c:v>6.5</c:v>
                      </c:pt>
                      <c:pt idx="12">
                        <c:v>7</c:v>
                      </c:pt>
                      <c:pt idx="13">
                        <c:v>7.5</c:v>
                      </c:pt>
                      <c:pt idx="14">
                        <c:v>8</c:v>
                      </c:pt>
                      <c:pt idx="15">
                        <c:v>8.5</c:v>
                      </c:pt>
                      <c:pt idx="16">
                        <c:v>9</c:v>
                      </c:pt>
                      <c:pt idx="17">
                        <c:v>9.5</c:v>
                      </c:pt>
                      <c:pt idx="18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'Magnes stały'!$B$2:$B$20</c15:sqref>
                        </c15:formulaRef>
                      </c:ext>
                    </c:extLst>
                    <c:numCache>
                      <c:formatCode>0.00</c:formatCode>
                      <c:ptCount val="19"/>
                      <c:pt idx="0">
                        <c:v>18</c:v>
                      </c:pt>
                      <c:pt idx="1">
                        <c:v>7.7</c:v>
                      </c:pt>
                      <c:pt idx="2">
                        <c:v>1.3</c:v>
                      </c:pt>
                      <c:pt idx="3">
                        <c:v>-1.9</c:v>
                      </c:pt>
                      <c:pt idx="4">
                        <c:v>-3.9</c:v>
                      </c:pt>
                      <c:pt idx="5">
                        <c:v>-5.0999999999999996</c:v>
                      </c:pt>
                      <c:pt idx="6">
                        <c:v>-5.9</c:v>
                      </c:pt>
                      <c:pt idx="7">
                        <c:v>-6.5</c:v>
                      </c:pt>
                      <c:pt idx="8">
                        <c:v>-6.9</c:v>
                      </c:pt>
                      <c:pt idx="9">
                        <c:v>-7.2</c:v>
                      </c:pt>
                      <c:pt idx="10">
                        <c:v>-7.4</c:v>
                      </c:pt>
                      <c:pt idx="11">
                        <c:v>-7.5</c:v>
                      </c:pt>
                      <c:pt idx="12">
                        <c:v>-7.6</c:v>
                      </c:pt>
                      <c:pt idx="13">
                        <c:v>-7.7</c:v>
                      </c:pt>
                      <c:pt idx="14">
                        <c:v>-7.8</c:v>
                      </c:pt>
                      <c:pt idx="15">
                        <c:v>-7.8</c:v>
                      </c:pt>
                      <c:pt idx="16">
                        <c:v>-7.9</c:v>
                      </c:pt>
                      <c:pt idx="17">
                        <c:v>-7.9</c:v>
                      </c:pt>
                      <c:pt idx="18">
                        <c:v>-8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DE42-4DCE-BD63-6CFF22B4C87F}"/>
                  </c:ext>
                </c:extLst>
              </c15:ser>
            </c15:filteredScatterSeries>
          </c:ext>
        </c:extLst>
      </c:scatterChart>
      <c:valAx>
        <c:axId val="771788560"/>
        <c:scaling>
          <c:orientation val="minMax"/>
          <c:max val="1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Odległość magnesu od halotronu</a:t>
                </a:r>
                <a:r>
                  <a:rPr lang="pl-PL" baseline="0"/>
                  <a:t> [cm]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495200976"/>
        <c:crosses val="autoZero"/>
        <c:crossBetween val="midCat"/>
        <c:majorUnit val="0.5"/>
      </c:valAx>
      <c:valAx>
        <c:axId val="49520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Pole magnetyczne wynikające ze wzoru [mT]</a:t>
                </a:r>
              </a:p>
            </c:rich>
          </c:tx>
          <c:layout>
            <c:manualLayout>
              <c:xMode val="edge"/>
              <c:yMode val="edge"/>
              <c:x val="1.9219219219219218E-2"/>
              <c:y val="0.166634740838180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150"/>
          </a:p>
        </c:txPr>
        <c:crossAx val="771788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150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</xdr:colOff>
      <xdr:row>5</xdr:row>
      <xdr:rowOff>19050</xdr:rowOff>
    </xdr:from>
    <xdr:to>
      <xdr:col>10</xdr:col>
      <xdr:colOff>400050</xdr:colOff>
      <xdr:row>21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4E9AD0-924C-0139-E796-27DE35371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42861</xdr:colOff>
      <xdr:row>5</xdr:row>
      <xdr:rowOff>176211</xdr:rowOff>
    </xdr:from>
    <xdr:to>
      <xdr:col>13</xdr:col>
      <xdr:colOff>28574</xdr:colOff>
      <xdr:row>21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1F0489-3571-97D7-D19B-290D5C12F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3</xdr:row>
      <xdr:rowOff>100012</xdr:rowOff>
    </xdr:from>
    <xdr:to>
      <xdr:col>11</xdr:col>
      <xdr:colOff>561976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316D4D-AAE5-EA71-2CF4-E6EC7767E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C7979-6850-4D98-BED3-FB61BF662EC2}">
  <dimension ref="A1:Q11"/>
  <sheetViews>
    <sheetView workbookViewId="0">
      <selection activeCell="P10" sqref="P10"/>
    </sheetView>
  </sheetViews>
  <sheetFormatPr defaultRowHeight="15" x14ac:dyDescent="0.25"/>
  <cols>
    <col min="1" max="1" width="22.28515625" bestFit="1" customWidth="1"/>
    <col min="14" max="14" width="18.140625" bestFit="1" customWidth="1"/>
    <col min="15" max="15" width="8.28515625" bestFit="1" customWidth="1"/>
    <col min="16" max="17" width="12" bestFit="1" customWidth="1"/>
  </cols>
  <sheetData>
    <row r="1" spans="1:17" x14ac:dyDescent="0.25">
      <c r="A1" s="1" t="s">
        <v>0</v>
      </c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</row>
    <row r="2" spans="1:17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  <c r="K2" s="12"/>
      <c r="L2" s="12"/>
      <c r="O2" s="4" t="s">
        <v>9</v>
      </c>
      <c r="P2" s="4" t="s">
        <v>10</v>
      </c>
      <c r="Q2" s="4" t="s">
        <v>11</v>
      </c>
    </row>
    <row r="3" spans="1:17" x14ac:dyDescent="0.25">
      <c r="A3" s="2">
        <v>5</v>
      </c>
      <c r="B3" s="2">
        <v>4.2</v>
      </c>
      <c r="C3" s="2">
        <v>4.5999999999999996</v>
      </c>
      <c r="D3" s="2">
        <v>4.9000000000000004</v>
      </c>
      <c r="E3" s="2">
        <v>5.3</v>
      </c>
      <c r="F3" s="2">
        <v>5.6</v>
      </c>
      <c r="G3" s="2">
        <v>6</v>
      </c>
      <c r="H3" s="2">
        <v>6.4</v>
      </c>
      <c r="I3" s="2">
        <v>6.7</v>
      </c>
      <c r="J3" s="2">
        <v>7.1</v>
      </c>
      <c r="K3" s="2">
        <v>7.4</v>
      </c>
      <c r="L3" s="2">
        <v>7.8</v>
      </c>
      <c r="N3" s="4" t="s">
        <v>7</v>
      </c>
      <c r="O3" s="6">
        <v>0.35820000000000002</v>
      </c>
      <c r="P3" s="6">
        <v>4.2091000000000003</v>
      </c>
      <c r="Q3" s="4">
        <f>4*PI()*10^-7</f>
        <v>1.2566370614359173E-6</v>
      </c>
    </row>
    <row r="4" spans="1:17" x14ac:dyDescent="0.25">
      <c r="A4" s="2">
        <v>7.5</v>
      </c>
      <c r="B4" s="2">
        <v>6.3</v>
      </c>
      <c r="C4" s="2">
        <v>6.8</v>
      </c>
      <c r="D4" s="2">
        <v>7.3</v>
      </c>
      <c r="E4" s="2">
        <v>7.8</v>
      </c>
      <c r="F4" s="2">
        <v>8.4</v>
      </c>
      <c r="G4" s="2">
        <v>8.9</v>
      </c>
      <c r="H4" s="2">
        <v>9.5</v>
      </c>
      <c r="I4" s="2">
        <v>10</v>
      </c>
      <c r="J4" s="2">
        <v>10.5</v>
      </c>
      <c r="K4" s="2">
        <v>11.1</v>
      </c>
      <c r="L4" s="2">
        <v>11.6</v>
      </c>
      <c r="N4" s="4" t="s">
        <v>8</v>
      </c>
      <c r="O4" s="6">
        <v>0.53449999999999998</v>
      </c>
      <c r="P4" s="6">
        <v>6.2545000000000002</v>
      </c>
    </row>
    <row r="5" spans="1:17" x14ac:dyDescent="0.25">
      <c r="A5" s="2">
        <v>10</v>
      </c>
      <c r="B5" s="2">
        <v>8.1999999999999993</v>
      </c>
      <c r="C5" s="2">
        <v>8.8000000000000007</v>
      </c>
      <c r="D5" s="2">
        <v>9.4</v>
      </c>
      <c r="E5" s="2">
        <v>10.199999999999999</v>
      </c>
      <c r="F5" s="2">
        <v>10.9</v>
      </c>
      <c r="G5" s="2">
        <v>11.6</v>
      </c>
      <c r="H5" s="2">
        <v>12.3</v>
      </c>
      <c r="I5" s="2">
        <v>13</v>
      </c>
      <c r="J5" s="2">
        <v>13.7</v>
      </c>
      <c r="K5" s="2">
        <v>14.4</v>
      </c>
      <c r="L5" s="2">
        <v>15.1</v>
      </c>
      <c r="N5" s="4" t="s">
        <v>6</v>
      </c>
      <c r="O5" s="6">
        <v>0.69820000000000004</v>
      </c>
      <c r="P5" s="6">
        <v>8.1090999999999998</v>
      </c>
    </row>
    <row r="7" spans="1:17" x14ac:dyDescent="0.25">
      <c r="N7" s="4" t="s">
        <v>3</v>
      </c>
      <c r="O7" s="4" t="s">
        <v>4</v>
      </c>
      <c r="P7" s="4" t="s">
        <v>5</v>
      </c>
    </row>
    <row r="8" spans="1:17" x14ac:dyDescent="0.25">
      <c r="N8" s="5">
        <v>5</v>
      </c>
      <c r="O8" s="4">
        <f>$P3/$N8</f>
        <v>0.84182000000000001</v>
      </c>
      <c r="P8" s="4">
        <f>($O3*2*0.11)/($N8*$Q$3*70)</f>
        <v>179.17208764876742</v>
      </c>
    </row>
    <row r="9" spans="1:17" x14ac:dyDescent="0.25">
      <c r="N9" s="5">
        <v>7.5</v>
      </c>
      <c r="O9" s="4">
        <f t="shared" ref="O9:O10" si="0">$P4/$N9</f>
        <v>0.8339333333333333</v>
      </c>
      <c r="P9" s="4">
        <f t="shared" ref="P9:P10" si="1">($O4*2*0.11)/($N9*$Q$3*70)</f>
        <v>178.23837864929499</v>
      </c>
    </row>
    <row r="10" spans="1:17" x14ac:dyDescent="0.25">
      <c r="N10" s="5">
        <v>10</v>
      </c>
      <c r="O10" s="4">
        <f t="shared" si="0"/>
        <v>0.81091000000000002</v>
      </c>
      <c r="P10" s="4">
        <f t="shared" si="1"/>
        <v>174.62025627633923</v>
      </c>
    </row>
    <row r="11" spans="1:17" x14ac:dyDescent="0.25">
      <c r="N11" t="s">
        <v>12</v>
      </c>
      <c r="O11">
        <f>AVERAGE(O8:O10)</f>
        <v>0.82888777777777778</v>
      </c>
      <c r="P11">
        <f>AVERAGE(P8:P10)</f>
        <v>177.34357419146718</v>
      </c>
    </row>
  </sheetData>
  <mergeCells count="1">
    <mergeCell ref="B2:L2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197B3-9CF3-4F18-BC5F-0A25EC3A9B11}">
  <dimension ref="A1:M22"/>
  <sheetViews>
    <sheetView tabSelected="1" workbookViewId="0">
      <selection activeCell="N6" sqref="N6"/>
    </sheetView>
  </sheetViews>
  <sheetFormatPr defaultRowHeight="15" x14ac:dyDescent="0.25"/>
  <cols>
    <col min="3" max="3" width="9.140625" customWidth="1"/>
    <col min="4" max="4" width="9.28515625" bestFit="1" customWidth="1"/>
    <col min="5" max="5" width="18" bestFit="1" customWidth="1"/>
    <col min="7" max="7" width="11" bestFit="1" customWidth="1"/>
    <col min="8" max="8" width="9.85546875" bestFit="1" customWidth="1"/>
    <col min="9" max="9" width="7.5703125" bestFit="1" customWidth="1"/>
    <col min="10" max="10" width="12" bestFit="1" customWidth="1"/>
    <col min="11" max="11" width="9" bestFit="1" customWidth="1"/>
    <col min="12" max="12" width="16.140625" bestFit="1" customWidth="1"/>
    <col min="13" max="13" width="12.85546875" bestFit="1" customWidth="1"/>
    <col min="15" max="15" width="18" bestFit="1" customWidth="1"/>
    <col min="19" max="19" width="10.5703125" bestFit="1" customWidth="1"/>
  </cols>
  <sheetData>
    <row r="1" spans="1:13" x14ac:dyDescent="0.25">
      <c r="A1" s="7" t="s">
        <v>13</v>
      </c>
      <c r="B1" s="7" t="s">
        <v>14</v>
      </c>
      <c r="C1" s="9" t="s">
        <v>15</v>
      </c>
      <c r="D1" s="9" t="s">
        <v>17</v>
      </c>
      <c r="E1" s="9" t="s">
        <v>16</v>
      </c>
      <c r="G1" s="7" t="s">
        <v>4</v>
      </c>
      <c r="H1" s="7" t="s">
        <v>5</v>
      </c>
      <c r="I1" s="7" t="s">
        <v>18</v>
      </c>
      <c r="J1" s="10" t="s">
        <v>20</v>
      </c>
      <c r="K1" s="10" t="s">
        <v>21</v>
      </c>
      <c r="L1" s="7" t="s">
        <v>22</v>
      </c>
      <c r="M1" s="7" t="s">
        <v>23</v>
      </c>
    </row>
    <row r="2" spans="1:13" x14ac:dyDescent="0.25">
      <c r="A2" s="5">
        <v>0</v>
      </c>
      <c r="B2" s="5">
        <v>15.1</v>
      </c>
      <c r="C2" s="8">
        <f>$E$2/((1/$H$2)*($B$2/$I$2 - $G$2)*1000)*(1/$H$2)*($B2/$I$2 - $G$2)*1000</f>
        <v>7.9999999999999982</v>
      </c>
      <c r="D2" s="8">
        <f>1/$H$2 * SQRT( ($J$2/$I$2)^2 + (($G$4/$H$2 - $B2/($H$2*$I$2)) * $L$2)^2 + ($B2/$I$2^2*$K$2)^2 + $M$2^2 )</f>
        <v>0.51540414185225247</v>
      </c>
      <c r="E2" s="8">
        <v>8</v>
      </c>
      <c r="G2" s="6">
        <v>0.81091000000000002</v>
      </c>
      <c r="H2" s="6">
        <v>174.62025627633923</v>
      </c>
      <c r="I2" s="6">
        <v>10</v>
      </c>
      <c r="J2" s="4">
        <f>0.1/SQRT(3)</f>
        <v>5.7735026918962581E-2</v>
      </c>
      <c r="K2" s="4">
        <v>0.01</v>
      </c>
      <c r="L2" s="6">
        <v>2.75</v>
      </c>
      <c r="M2" s="6">
        <v>90</v>
      </c>
    </row>
    <row r="3" spans="1:13" x14ac:dyDescent="0.25">
      <c r="A3" s="5">
        <v>0.5</v>
      </c>
      <c r="B3" s="5">
        <v>15</v>
      </c>
      <c r="C3" s="8">
        <f t="shared" ref="C3:C22" si="0">$E$2/((1/$H$2)*($B$2/$I$2 - $G$2)*1000)*(1/$H$2)*($B3/$I$2 - $G$2)*1000</f>
        <v>7.8855655208914435</v>
      </c>
      <c r="D3" s="8">
        <f t="shared" ref="D3:D22" si="1">1/$H$2 * SQRT( ($J$2/$I$2)^2 + (($G$4/$H$2 - $B3/($H$2*$I$2)) * $L$2)^2 + ($B3/$I$2^2*$K$2)^2 + $M$2^2 )</f>
        <v>0.51540414161391634</v>
      </c>
      <c r="E3" s="8">
        <f t="shared" ref="E3:E22" si="2">$E$2 / ( 1 + (($A3*0.01)^2)/(0.055^2) )^(3/2)</f>
        <v>7.9018411791863725</v>
      </c>
      <c r="G3" s="7" t="s">
        <v>19</v>
      </c>
    </row>
    <row r="4" spans="1:13" x14ac:dyDescent="0.25">
      <c r="A4" s="5">
        <v>1</v>
      </c>
      <c r="B4" s="5">
        <v>14.8</v>
      </c>
      <c r="C4" s="8">
        <f t="shared" si="0"/>
        <v>7.6566965626743331</v>
      </c>
      <c r="D4" s="8">
        <f t="shared" si="1"/>
        <v>0.5154041411419974</v>
      </c>
      <c r="E4" s="8">
        <f t="shared" si="2"/>
        <v>7.6190885838136841</v>
      </c>
      <c r="G4" s="4">
        <f>G2*0.001</f>
        <v>8.1091000000000008E-4</v>
      </c>
    </row>
    <row r="5" spans="1:13" x14ac:dyDescent="0.25">
      <c r="A5" s="5">
        <v>1.5</v>
      </c>
      <c r="B5" s="5">
        <v>14.5</v>
      </c>
      <c r="C5" s="8">
        <f t="shared" si="0"/>
        <v>7.3133931253486661</v>
      </c>
      <c r="D5" s="8">
        <f t="shared" si="1"/>
        <v>0.51540414044600269</v>
      </c>
      <c r="E5" s="8">
        <f t="shared" si="2"/>
        <v>7.1837798381394204</v>
      </c>
    </row>
    <row r="6" spans="1:13" x14ac:dyDescent="0.25">
      <c r="A6" s="5">
        <v>2</v>
      </c>
      <c r="B6" s="5">
        <v>14</v>
      </c>
      <c r="C6" s="8">
        <f t="shared" si="0"/>
        <v>6.7412207298058888</v>
      </c>
      <c r="D6" s="8">
        <f t="shared" si="1"/>
        <v>0.51540413931770102</v>
      </c>
      <c r="E6" s="8">
        <f t="shared" si="2"/>
        <v>6.6402922185168398</v>
      </c>
    </row>
    <row r="7" spans="1:13" x14ac:dyDescent="0.25">
      <c r="A7" s="5">
        <v>2.5</v>
      </c>
      <c r="B7" s="5">
        <v>13.5</v>
      </c>
      <c r="C7" s="8">
        <f t="shared" si="0"/>
        <v>6.1690483342631133</v>
      </c>
      <c r="D7" s="8">
        <f t="shared" si="1"/>
        <v>0.51540413822901132</v>
      </c>
      <c r="E7" s="8">
        <f t="shared" si="2"/>
        <v>6.0358544533137088</v>
      </c>
    </row>
    <row r="8" spans="1:13" x14ac:dyDescent="0.25">
      <c r="A8" s="5">
        <v>3</v>
      </c>
      <c r="B8" s="5">
        <v>12.9</v>
      </c>
      <c r="C8" s="8">
        <f t="shared" si="0"/>
        <v>5.4824414596117803</v>
      </c>
      <c r="D8" s="8">
        <f t="shared" si="1"/>
        <v>0.51540413697487164</v>
      </c>
      <c r="E8" s="8">
        <f t="shared" si="2"/>
        <v>5.4127574177141664</v>
      </c>
    </row>
    <row r="9" spans="1:13" x14ac:dyDescent="0.25">
      <c r="A9" s="5">
        <v>3.5</v>
      </c>
      <c r="B9" s="5">
        <v>12.4</v>
      </c>
      <c r="C9" s="8">
        <f t="shared" si="0"/>
        <v>4.910269064069003</v>
      </c>
      <c r="D9" s="8">
        <f t="shared" si="1"/>
        <v>0.51540413597332835</v>
      </c>
      <c r="E9" s="8">
        <f t="shared" si="2"/>
        <v>4.803907765439293</v>
      </c>
    </row>
    <row r="10" spans="1:13" x14ac:dyDescent="0.25">
      <c r="A10" s="5">
        <v>4</v>
      </c>
      <c r="B10" s="5">
        <v>11.9</v>
      </c>
      <c r="C10" s="8">
        <f t="shared" si="0"/>
        <v>4.3380966685262257</v>
      </c>
      <c r="D10" s="8">
        <f t="shared" si="1"/>
        <v>0.51540413501139704</v>
      </c>
      <c r="E10" s="8">
        <f t="shared" si="2"/>
        <v>4.2316569167864131</v>
      </c>
    </row>
    <row r="11" spans="1:13" x14ac:dyDescent="0.25">
      <c r="A11" s="5">
        <v>4.5</v>
      </c>
      <c r="B11" s="5">
        <v>11.4</v>
      </c>
      <c r="C11" s="8">
        <f t="shared" si="0"/>
        <v>3.7659242729834506</v>
      </c>
      <c r="D11" s="8">
        <f t="shared" si="1"/>
        <v>0.5154041340890777</v>
      </c>
      <c r="E11" s="8">
        <f t="shared" si="2"/>
        <v>3.7088646813307671</v>
      </c>
    </row>
    <row r="12" spans="1:13" x14ac:dyDescent="0.25">
      <c r="A12" s="5">
        <v>5</v>
      </c>
      <c r="B12" s="5">
        <v>11</v>
      </c>
      <c r="C12" s="8">
        <f t="shared" si="0"/>
        <v>3.3081863565492289</v>
      </c>
      <c r="D12" s="8">
        <f t="shared" si="1"/>
        <v>0.51540413337974278</v>
      </c>
      <c r="E12" s="8">
        <f t="shared" si="2"/>
        <v>3.2410044843768029</v>
      </c>
    </row>
    <row r="13" spans="1:13" x14ac:dyDescent="0.25">
      <c r="A13" s="5">
        <v>5.5</v>
      </c>
      <c r="B13" s="5">
        <v>10.7</v>
      </c>
      <c r="C13" s="8">
        <f t="shared" si="0"/>
        <v>2.9648829192235597</v>
      </c>
      <c r="D13" s="8">
        <f t="shared" si="1"/>
        <v>0.51540413286437869</v>
      </c>
      <c r="E13" s="8">
        <f t="shared" si="2"/>
        <v>2.8284271247461903</v>
      </c>
    </row>
    <row r="14" spans="1:13" x14ac:dyDescent="0.25">
      <c r="A14" s="5">
        <v>6</v>
      </c>
      <c r="B14" s="5">
        <v>10.3</v>
      </c>
      <c r="C14" s="8">
        <f t="shared" si="0"/>
        <v>2.5071450027893403</v>
      </c>
      <c r="D14" s="8">
        <f t="shared" si="1"/>
        <v>0.51540413219940928</v>
      </c>
      <c r="E14" s="8">
        <f t="shared" si="2"/>
        <v>2.4683073222822309</v>
      </c>
    </row>
    <row r="15" spans="1:13" x14ac:dyDescent="0.25">
      <c r="A15" s="5">
        <v>6.5</v>
      </c>
      <c r="B15" s="5">
        <v>10.1</v>
      </c>
      <c r="C15" s="8">
        <f t="shared" si="0"/>
        <v>2.2782760445722294</v>
      </c>
      <c r="D15" s="8">
        <f t="shared" si="1"/>
        <v>0.51540413187643142</v>
      </c>
      <c r="E15" s="8">
        <f t="shared" si="2"/>
        <v>2.1561106542732968</v>
      </c>
    </row>
    <row r="16" spans="1:13" x14ac:dyDescent="0.25">
      <c r="A16" s="5">
        <v>7</v>
      </c>
      <c r="B16" s="5">
        <v>9.8000000000000007</v>
      </c>
      <c r="C16" s="8">
        <f t="shared" si="0"/>
        <v>1.9349726072465638</v>
      </c>
      <c r="D16" s="8">
        <f t="shared" si="1"/>
        <v>0.51540413140384822</v>
      </c>
      <c r="E16" s="8">
        <f t="shared" si="2"/>
        <v>1.886597041861459</v>
      </c>
    </row>
    <row r="17" spans="1:5" x14ac:dyDescent="0.25">
      <c r="A17" s="5">
        <v>7.5</v>
      </c>
      <c r="B17" s="5">
        <v>9.6</v>
      </c>
      <c r="C17" s="8">
        <f t="shared" si="0"/>
        <v>1.7061036490294517</v>
      </c>
      <c r="D17" s="8">
        <f t="shared" si="1"/>
        <v>0.51540413109671523</v>
      </c>
      <c r="E17" s="8">
        <f t="shared" si="2"/>
        <v>1.6544509433278525</v>
      </c>
    </row>
    <row r="18" spans="1:5" x14ac:dyDescent="0.25">
      <c r="A18" s="5">
        <v>8</v>
      </c>
      <c r="B18" s="5">
        <v>9.4</v>
      </c>
      <c r="C18" s="8">
        <f t="shared" si="0"/>
        <v>1.4772346908123419</v>
      </c>
      <c r="D18" s="8">
        <f t="shared" si="1"/>
        <v>0.51540413079592007</v>
      </c>
      <c r="E18" s="8">
        <f t="shared" si="2"/>
        <v>1.4546416460336311</v>
      </c>
    </row>
    <row r="19" spans="1:5" x14ac:dyDescent="0.25">
      <c r="A19" s="5">
        <v>8.5</v>
      </c>
      <c r="B19" s="5">
        <v>9.3000000000000007</v>
      </c>
      <c r="C19" s="8">
        <f t="shared" si="0"/>
        <v>1.3628002117037865</v>
      </c>
      <c r="D19" s="8">
        <f t="shared" si="1"/>
        <v>0.51540413064789925</v>
      </c>
      <c r="E19" s="8">
        <f t="shared" si="2"/>
        <v>1.2826030176981498</v>
      </c>
    </row>
    <row r="20" spans="1:5" x14ac:dyDescent="0.25">
      <c r="A20" s="5">
        <v>9</v>
      </c>
      <c r="B20" s="5">
        <v>9.1</v>
      </c>
      <c r="C20" s="8">
        <f t="shared" si="0"/>
        <v>1.1339312534866743</v>
      </c>
      <c r="D20" s="8">
        <f t="shared" si="1"/>
        <v>0.51540413035661103</v>
      </c>
      <c r="E20" s="8">
        <f t="shared" si="2"/>
        <v>1.1343002452841522</v>
      </c>
    </row>
    <row r="21" spans="1:5" x14ac:dyDescent="0.25">
      <c r="A21" s="5">
        <v>9.5</v>
      </c>
      <c r="B21" s="5">
        <v>9</v>
      </c>
      <c r="C21" s="8">
        <f t="shared" si="0"/>
        <v>1.01949677437812</v>
      </c>
      <c r="D21" s="8">
        <f t="shared" si="1"/>
        <v>0.51540413021334353</v>
      </c>
      <c r="E21" s="8">
        <f t="shared" si="2"/>
        <v>1.0062305184323028</v>
      </c>
    </row>
    <row r="22" spans="1:5" x14ac:dyDescent="0.25">
      <c r="A22" s="5">
        <v>10</v>
      </c>
      <c r="B22" s="5">
        <v>8.9</v>
      </c>
      <c r="C22" s="8">
        <f t="shared" si="0"/>
        <v>0.9050622952695645</v>
      </c>
      <c r="D22" s="8">
        <f t="shared" si="1"/>
        <v>0.51540413007166075</v>
      </c>
      <c r="E22" s="8">
        <f t="shared" si="2"/>
        <v>0.89538838729260428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B56A7-C4FA-48F1-A31D-F147AED3D138}">
  <dimension ref="A1:I21"/>
  <sheetViews>
    <sheetView workbookViewId="0">
      <selection activeCell="C2" sqref="C2"/>
    </sheetView>
  </sheetViews>
  <sheetFormatPr defaultRowHeight="15" x14ac:dyDescent="0.25"/>
  <sheetData>
    <row r="1" spans="1:9" x14ac:dyDescent="0.25">
      <c r="A1" s="7" t="s">
        <v>13</v>
      </c>
      <c r="B1" s="7" t="s">
        <v>14</v>
      </c>
      <c r="C1" s="9" t="s">
        <v>15</v>
      </c>
      <c r="G1" s="7" t="s">
        <v>4</v>
      </c>
      <c r="H1" s="7" t="s">
        <v>5</v>
      </c>
      <c r="I1" s="7" t="s">
        <v>18</v>
      </c>
    </row>
    <row r="2" spans="1:9" x14ac:dyDescent="0.25">
      <c r="A2" s="11">
        <v>1</v>
      </c>
      <c r="B2" s="11">
        <v>18</v>
      </c>
      <c r="C2" s="8">
        <f>IF((1/$H$2)*($B2/$I$2 - $G$2)*1000&gt;=0,(1/$H$2)*($B2/$I$2 - $G$2)*1000, "&lt;0")</f>
        <v>5.664234041867112</v>
      </c>
      <c r="G2" s="6">
        <v>0.81091000000000002</v>
      </c>
      <c r="H2" s="6">
        <v>174.62025627633923</v>
      </c>
      <c r="I2" s="6">
        <v>10</v>
      </c>
    </row>
    <row r="3" spans="1:9" x14ac:dyDescent="0.25">
      <c r="A3" s="11">
        <v>1.5</v>
      </c>
      <c r="B3" s="11">
        <v>7.7</v>
      </c>
      <c r="C3" s="8">
        <f t="shared" ref="C3:C21" si="0">(1/$H$2)*($B3/$I$2 - $G$2)*1000</f>
        <v>-0.2342798073509828</v>
      </c>
    </row>
    <row r="4" spans="1:9" x14ac:dyDescent="0.25">
      <c r="A4" s="11">
        <v>2</v>
      </c>
      <c r="B4" s="11">
        <v>1.3</v>
      </c>
      <c r="C4" s="8">
        <f t="shared" si="0"/>
        <v>-3.8993757913311584</v>
      </c>
    </row>
    <row r="5" spans="1:9" x14ac:dyDescent="0.25">
      <c r="A5" s="11">
        <v>2.5</v>
      </c>
      <c r="B5" s="11">
        <v>-1.9</v>
      </c>
      <c r="C5" s="8">
        <f t="shared" si="0"/>
        <v>-5.7319237833212462</v>
      </c>
    </row>
    <row r="6" spans="1:9" x14ac:dyDescent="0.25">
      <c r="A6" s="11">
        <v>3</v>
      </c>
      <c r="B6" s="11">
        <v>-3.9</v>
      </c>
      <c r="C6" s="8">
        <f t="shared" si="0"/>
        <v>-6.8772662783150507</v>
      </c>
    </row>
    <row r="7" spans="1:9" x14ac:dyDescent="0.25">
      <c r="A7" s="11">
        <v>3.5</v>
      </c>
      <c r="B7" s="11">
        <v>-5.0999999999999996</v>
      </c>
      <c r="C7" s="8">
        <f t="shared" si="0"/>
        <v>-7.5644717753113335</v>
      </c>
    </row>
    <row r="8" spans="1:9" x14ac:dyDescent="0.25">
      <c r="A8" s="11">
        <v>4</v>
      </c>
      <c r="B8" s="11">
        <v>-5.9</v>
      </c>
      <c r="C8" s="8">
        <f t="shared" si="0"/>
        <v>-8.0226087733088569</v>
      </c>
    </row>
    <row r="9" spans="1:9" x14ac:dyDescent="0.25">
      <c r="A9" s="11">
        <v>4.5</v>
      </c>
      <c r="B9" s="11">
        <v>-6.5</v>
      </c>
      <c r="C9" s="8">
        <f t="shared" si="0"/>
        <v>-8.3662115218069992</v>
      </c>
    </row>
    <row r="10" spans="1:9" x14ac:dyDescent="0.25">
      <c r="A10" s="11">
        <v>5</v>
      </c>
      <c r="B10" s="11">
        <v>-6.9</v>
      </c>
      <c r="C10" s="8">
        <f t="shared" si="0"/>
        <v>-8.5952800208057596</v>
      </c>
    </row>
    <row r="11" spans="1:9" x14ac:dyDescent="0.25">
      <c r="A11" s="11">
        <v>5.5</v>
      </c>
      <c r="B11" s="11">
        <v>-7.2</v>
      </c>
      <c r="C11" s="8">
        <f t="shared" si="0"/>
        <v>-8.767081395054829</v>
      </c>
    </row>
    <row r="12" spans="1:9" x14ac:dyDescent="0.25">
      <c r="A12" s="11">
        <v>6</v>
      </c>
      <c r="B12" s="11">
        <v>-7.4</v>
      </c>
      <c r="C12" s="8">
        <f t="shared" si="0"/>
        <v>-8.8816156445542092</v>
      </c>
    </row>
    <row r="13" spans="1:9" x14ac:dyDescent="0.25">
      <c r="A13" s="11">
        <v>6.5</v>
      </c>
      <c r="B13" s="11">
        <v>-7.5</v>
      </c>
      <c r="C13" s="8">
        <f t="shared" si="0"/>
        <v>-8.9388827693039001</v>
      </c>
    </row>
    <row r="14" spans="1:9" x14ac:dyDescent="0.25">
      <c r="A14" s="11">
        <v>7</v>
      </c>
      <c r="B14" s="11">
        <v>-7.6</v>
      </c>
      <c r="C14" s="8">
        <f t="shared" si="0"/>
        <v>-8.9961498940535893</v>
      </c>
    </row>
    <row r="15" spans="1:9" x14ac:dyDescent="0.25">
      <c r="A15" s="11">
        <v>7.5</v>
      </c>
      <c r="B15" s="11">
        <v>-7.7</v>
      </c>
      <c r="C15" s="8">
        <f t="shared" si="0"/>
        <v>-9.0534170188032821</v>
      </c>
    </row>
    <row r="16" spans="1:9" x14ac:dyDescent="0.25">
      <c r="A16" s="11">
        <v>8</v>
      </c>
      <c r="B16" s="11">
        <v>-7.8</v>
      </c>
      <c r="C16" s="8">
        <f t="shared" si="0"/>
        <v>-9.1106841435529713</v>
      </c>
    </row>
    <row r="17" spans="1:3" x14ac:dyDescent="0.25">
      <c r="A17" s="11">
        <v>8.5</v>
      </c>
      <c r="B17" s="11">
        <v>-7.8</v>
      </c>
      <c r="C17" s="8">
        <f t="shared" si="0"/>
        <v>-9.1106841435529713</v>
      </c>
    </row>
    <row r="18" spans="1:3" x14ac:dyDescent="0.25">
      <c r="A18" s="11">
        <v>9</v>
      </c>
      <c r="B18" s="11">
        <v>-7.9</v>
      </c>
      <c r="C18" s="8">
        <f t="shared" si="0"/>
        <v>-9.1679512683026605</v>
      </c>
    </row>
    <row r="19" spans="1:3" x14ac:dyDescent="0.25">
      <c r="A19" s="11">
        <v>9.5</v>
      </c>
      <c r="B19" s="11">
        <v>-7.9</v>
      </c>
      <c r="C19" s="8">
        <f t="shared" si="0"/>
        <v>-9.1679512683026605</v>
      </c>
    </row>
    <row r="20" spans="1:3" x14ac:dyDescent="0.25">
      <c r="A20" s="11">
        <v>10</v>
      </c>
      <c r="B20" s="11">
        <v>-8</v>
      </c>
      <c r="C20" s="8">
        <f t="shared" si="0"/>
        <v>-9.2252183930523515</v>
      </c>
    </row>
    <row r="21" spans="1:3" x14ac:dyDescent="0.25">
      <c r="A21" s="4" t="s">
        <v>24</v>
      </c>
      <c r="B21" s="11">
        <v>-8.1999999999999993</v>
      </c>
      <c r="C21" s="8">
        <f t="shared" si="0"/>
        <v>-9.3397526425517317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Cechowanie halotronu</vt:lpstr>
      <vt:lpstr>Rozkład pola</vt:lpstr>
      <vt:lpstr>Magnes stały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robert</cp:lastModifiedBy>
  <dcterms:created xsi:type="dcterms:W3CDTF">2023-10-15T18:26:02Z</dcterms:created>
  <dcterms:modified xsi:type="dcterms:W3CDTF">2023-10-24T20:03:40Z</dcterms:modified>
</cp:coreProperties>
</file>