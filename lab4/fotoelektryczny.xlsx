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robert\Desktop\Fizyka\lab4\"/>
    </mc:Choice>
  </mc:AlternateContent>
  <xr:revisionPtr revIDLastSave="0" documentId="13_ncr:1_{DB188A75-5EBA-4C28-98AB-58DFE22966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toelektrycz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F38" i="1"/>
  <c r="F37" i="1"/>
  <c r="F36" i="1"/>
  <c r="G37" i="1"/>
  <c r="B36" i="1"/>
  <c r="D36" i="1" a="1"/>
  <c r="D36" i="1" s="1"/>
  <c r="C39" i="1"/>
  <c r="C38" i="1"/>
  <c r="C37" i="1"/>
  <c r="C36" i="1"/>
  <c r="B39" i="1"/>
  <c r="B38" i="1"/>
  <c r="B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<sst xmlns="http://schemas.openxmlformats.org/spreadsheetml/2006/main" count="26" uniqueCount="18">
  <si>
    <t>Kolor/długość fali [nm]</t>
  </si>
  <si>
    <t>Częstotliwość [THz]</t>
  </si>
  <si>
    <t>U_h [V] (I=0)</t>
  </si>
  <si>
    <t>U_hśr [V]</t>
  </si>
  <si>
    <t>czerwony</t>
  </si>
  <si>
    <t>pomarańczowy</t>
  </si>
  <si>
    <t>zielony</t>
  </si>
  <si>
    <t>fioletowy</t>
  </si>
  <si>
    <t>I [nA]</t>
  </si>
  <si>
    <t>I [nA] (U_a-f=0)</t>
  </si>
  <si>
    <t>U_a-f [V]</t>
  </si>
  <si>
    <t>Czerwony 630 nm</t>
  </si>
  <si>
    <t>Pomarańczowy 593 nm</t>
  </si>
  <si>
    <t>Zielony 522 nm</t>
  </si>
  <si>
    <t>Fioletowy 457 nm</t>
  </si>
  <si>
    <t>a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</si>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</sst>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71" formatCode="0.0000"/>
    <numFmt numFmtId="174" formatCode="0.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/>
    <xf numFmtId="164" fontId="0" fillId="2" borderId="2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/>
    <xf numFmtId="164" fontId="0" fillId="2" borderId="1" xfId="0" applyNumberFormat="1" applyFill="1" applyBorder="1" applyAlignment="1"/>
    <xf numFmtId="164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0" xfId="0" applyFont="1"/>
    <xf numFmtId="171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46191418586045"/>
          <c:y val="5.5966612133852851E-2"/>
          <c:w val="0.76256838884444256"/>
          <c:h val="0.80977928520155429"/>
        </c:manualLayout>
      </c:layout>
      <c:scatterChart>
        <c:scatterStyle val="lineMarker"/>
        <c:varyColors val="0"/>
        <c:ser>
          <c:idx val="0"/>
          <c:order val="0"/>
          <c:tx>
            <c:strRef>
              <c:f>fotoelektryczny!$B$3</c:f>
              <c:strCache>
                <c:ptCount val="1"/>
                <c:pt idx="0">
                  <c:v>czerwony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fotoelektryczny!$C$3</c:f>
              <c:numCache>
                <c:formatCode>General</c:formatCode>
                <c:ptCount val="1"/>
                <c:pt idx="0">
                  <c:v>476</c:v>
                </c:pt>
              </c:numCache>
            </c:numRef>
          </c:xVal>
          <c:yVal>
            <c:numRef>
              <c:f>fotoelektryczny!$F$3</c:f>
              <c:numCache>
                <c:formatCode>0.000</c:formatCode>
                <c:ptCount val="1"/>
                <c:pt idx="0">
                  <c:v>0.22500000000000001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8-4F59-AA3F-ED7404E62C06}"/>
            </c:ext>
          </c:extLst>
        </c:ser>
        <c:ser>
          <c:idx val="1"/>
          <c:order val="1"/>
          <c:tx>
            <c:strRef>
              <c:f>fotoelektryczny!$B$6</c:f>
              <c:strCache>
                <c:ptCount val="1"/>
                <c:pt idx="0">
                  <c:v>pomarańczowy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fotoelektryczny!$C$6</c:f>
              <c:numCache>
                <c:formatCode>General</c:formatCode>
                <c:ptCount val="1"/>
                <c:pt idx="0">
                  <c:v>506</c:v>
                </c:pt>
              </c:numCache>
            </c:numRef>
          </c:xVal>
          <c:yVal>
            <c:numRef>
              <c:f>fotoelektryczny!$F$6</c:f>
              <c:numCache>
                <c:formatCode>0.000</c:formatCode>
                <c:ptCount val="1"/>
                <c:pt idx="0">
                  <c:v>0.32900000000000001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5F8-4F59-AA3F-ED7404E62C06}"/>
            </c:ext>
          </c:extLst>
        </c:ser>
        <c:ser>
          <c:idx val="2"/>
          <c:order val="2"/>
          <c:tx>
            <c:strRef>
              <c:f>fotoelektryczny!$B$9</c:f>
              <c:strCache>
                <c:ptCount val="1"/>
                <c:pt idx="0">
                  <c:v>zielony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fotoelektryczny!$C$9</c:f>
              <c:numCache>
                <c:formatCode>General</c:formatCode>
                <c:ptCount val="1"/>
                <c:pt idx="0">
                  <c:v>574</c:v>
                </c:pt>
              </c:numCache>
            </c:numRef>
          </c:xVal>
          <c:yVal>
            <c:numRef>
              <c:f>fotoelektryczny!$F$9</c:f>
              <c:numCache>
                <c:formatCode>0.000</c:formatCode>
                <c:ptCount val="1"/>
                <c:pt idx="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5F8-4F59-AA3F-ED7404E62C06}"/>
            </c:ext>
          </c:extLst>
        </c:ser>
        <c:ser>
          <c:idx val="3"/>
          <c:order val="3"/>
          <c:tx>
            <c:strRef>
              <c:f>fotoelektryczny!$B$12</c:f>
              <c:strCache>
                <c:ptCount val="1"/>
                <c:pt idx="0">
                  <c:v>fioletowy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fotoelektryczny!$C$12</c:f>
              <c:numCache>
                <c:formatCode>General</c:formatCode>
                <c:ptCount val="1"/>
                <c:pt idx="0">
                  <c:v>656</c:v>
                </c:pt>
              </c:numCache>
            </c:numRef>
          </c:xVal>
          <c:yVal>
            <c:numRef>
              <c:f>fotoelektryczny!$F$12</c:f>
              <c:numCache>
                <c:formatCode>0.000</c:formatCode>
                <c:ptCount val="1"/>
                <c:pt idx="0">
                  <c:v>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5F8-4F59-AA3F-ED7404E62C06}"/>
            </c:ext>
          </c:extLst>
        </c:ser>
        <c:ser>
          <c:idx val="4"/>
          <c:order val="4"/>
          <c:tx>
            <c:v>Trendline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20"/>
            <c:backward val="30"/>
            <c:dispRSqr val="0"/>
            <c:dispEq val="0"/>
          </c:trendline>
          <c:xVal>
            <c:numRef>
              <c:f>fotoelektryczny!$C$3:$C$14</c:f>
              <c:numCache>
                <c:formatCode>General</c:formatCode>
                <c:ptCount val="12"/>
                <c:pt idx="0">
                  <c:v>476</c:v>
                </c:pt>
                <c:pt idx="3">
                  <c:v>506</c:v>
                </c:pt>
                <c:pt idx="6">
                  <c:v>574</c:v>
                </c:pt>
                <c:pt idx="9">
                  <c:v>656</c:v>
                </c:pt>
              </c:numCache>
            </c:numRef>
          </c:xVal>
          <c:yVal>
            <c:numRef>
              <c:f>fotoelektryczny!$F$3:$F$14</c:f>
              <c:numCache>
                <c:formatCode>0.000</c:formatCode>
                <c:ptCount val="12"/>
                <c:pt idx="0">
                  <c:v>0.22500000000000001</c:v>
                </c:pt>
                <c:pt idx="3">
                  <c:v>0.32900000000000001</c:v>
                </c:pt>
                <c:pt idx="6">
                  <c:v>0.5</c:v>
                </c:pt>
                <c:pt idx="9">
                  <c:v>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5F8-4F59-AA3F-ED7404E62C0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127430800"/>
        <c:axId val="2123091552"/>
      </c:scatterChart>
      <c:valAx>
        <c:axId val="2127430800"/>
        <c:scaling>
          <c:orientation val="minMax"/>
          <c:max val="670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Częstotliwość f [THz]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2123091552"/>
        <c:crosses val="autoZero"/>
        <c:crossBetween val="midCat"/>
        <c:majorUnit val="10"/>
      </c:valAx>
      <c:valAx>
        <c:axId val="21230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Napięcie hamowania U_hśr</a:t>
                </a:r>
                <a:r>
                  <a:rPr lang="pl-PL" b="1" baseline="0"/>
                  <a:t> [V]</a:t>
                </a:r>
                <a:endParaRPr lang="pl-PL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2127430800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704870380507248"/>
          <c:y val="0.21905340691856115"/>
          <c:w val="0.12773043075497917"/>
          <c:h val="0.59898172965780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260717410323713E-2"/>
          <c:y val="4.3328402931195921E-2"/>
          <c:w val="0.71736808289588805"/>
          <c:h val="0.78176938062094536"/>
        </c:manualLayout>
      </c:layout>
      <c:scatterChart>
        <c:scatterStyle val="lineMarker"/>
        <c:varyColors val="0"/>
        <c:ser>
          <c:idx val="0"/>
          <c:order val="0"/>
          <c:tx>
            <c:strRef>
              <c:f>fotoelektryczny!$H$2</c:f>
              <c:strCache>
                <c:ptCount val="1"/>
                <c:pt idx="0">
                  <c:v>Czerwony 630 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fotoelektryczny!$I$4:$I$15</c:f>
              <c:numCache>
                <c:formatCode>0.000</c:formatCode>
                <c:ptCount val="12"/>
                <c:pt idx="0">
                  <c:v>0.22500000000000001</c:v>
                </c:pt>
                <c:pt idx="1">
                  <c:v>0.2</c:v>
                </c:pt>
                <c:pt idx="2">
                  <c:v>0.18</c:v>
                </c:pt>
                <c:pt idx="3">
                  <c:v>0.16</c:v>
                </c:pt>
                <c:pt idx="4">
                  <c:v>0.14000000000000001</c:v>
                </c:pt>
                <c:pt idx="5">
                  <c:v>0.12</c:v>
                </c:pt>
                <c:pt idx="6">
                  <c:v>0.1</c:v>
                </c:pt>
                <c:pt idx="7">
                  <c:v>0.08</c:v>
                </c:pt>
                <c:pt idx="8">
                  <c:v>0.06</c:v>
                </c:pt>
                <c:pt idx="9">
                  <c:v>0.04</c:v>
                </c:pt>
                <c:pt idx="10">
                  <c:v>0.02</c:v>
                </c:pt>
                <c:pt idx="11">
                  <c:v>0</c:v>
                </c:pt>
              </c:numCache>
            </c:numRef>
          </c:xVal>
          <c:yVal>
            <c:numRef>
              <c:f>fotoelektryczny!$H$4:$H$15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90</c:v>
                </c:pt>
                <c:pt idx="7">
                  <c:v>100</c:v>
                </c:pt>
                <c:pt idx="8">
                  <c:v>140</c:v>
                </c:pt>
                <c:pt idx="9">
                  <c:v>170</c:v>
                </c:pt>
                <c:pt idx="10">
                  <c:v>220</c:v>
                </c:pt>
                <c:pt idx="11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F-489D-B418-58766DA5DAED}"/>
            </c:ext>
          </c:extLst>
        </c:ser>
        <c:ser>
          <c:idx val="1"/>
          <c:order val="1"/>
          <c:tx>
            <c:strRef>
              <c:f>fotoelektryczny!$J$2</c:f>
              <c:strCache>
                <c:ptCount val="1"/>
                <c:pt idx="0">
                  <c:v>Pomarańczowy 593 nm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fotoelektryczny!$K$4:$K$15</c:f>
              <c:numCache>
                <c:formatCode>0.000</c:formatCode>
                <c:ptCount val="12"/>
                <c:pt idx="0">
                  <c:v>0.33100000000000002</c:v>
                </c:pt>
                <c:pt idx="1">
                  <c:v>0.3</c:v>
                </c:pt>
                <c:pt idx="2">
                  <c:v>0.27</c:v>
                </c:pt>
                <c:pt idx="3">
                  <c:v>0.24</c:v>
                </c:pt>
                <c:pt idx="4">
                  <c:v>0.21</c:v>
                </c:pt>
                <c:pt idx="5">
                  <c:v>0.18</c:v>
                </c:pt>
                <c:pt idx="6">
                  <c:v>0.15</c:v>
                </c:pt>
                <c:pt idx="7">
                  <c:v>0.12</c:v>
                </c:pt>
                <c:pt idx="8">
                  <c:v>0.09</c:v>
                </c:pt>
                <c:pt idx="9">
                  <c:v>0.06</c:v>
                </c:pt>
                <c:pt idx="10">
                  <c:v>0.03</c:v>
                </c:pt>
                <c:pt idx="11">
                  <c:v>0</c:v>
                </c:pt>
              </c:numCache>
            </c:numRef>
          </c:xVal>
          <c:yVal>
            <c:numRef>
              <c:f>fotoelektryczny!$J$4:$J$15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140</c:v>
                </c:pt>
                <c:pt idx="6">
                  <c:v>200</c:v>
                </c:pt>
                <c:pt idx="7">
                  <c:v>270</c:v>
                </c:pt>
                <c:pt idx="8">
                  <c:v>350</c:v>
                </c:pt>
                <c:pt idx="9">
                  <c:v>390</c:v>
                </c:pt>
                <c:pt idx="10">
                  <c:v>580</c:v>
                </c:pt>
                <c:pt idx="11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F-489D-B418-58766DA5DAED}"/>
            </c:ext>
          </c:extLst>
        </c:ser>
        <c:ser>
          <c:idx val="3"/>
          <c:order val="2"/>
          <c:tx>
            <c:strRef>
              <c:f>fotoelektryczny!$L$2</c:f>
              <c:strCache>
                <c:ptCount val="1"/>
                <c:pt idx="0">
                  <c:v>Zielony 522 nm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fotoelektryczny!$M$4:$M$14</c:f>
              <c:numCache>
                <c:formatCode>0.000</c:formatCode>
                <c:ptCount val="11"/>
                <c:pt idx="0">
                  <c:v>0.5</c:v>
                </c:pt>
                <c:pt idx="1">
                  <c:v>0.45</c:v>
                </c:pt>
                <c:pt idx="2">
                  <c:v>0.4</c:v>
                </c:pt>
                <c:pt idx="3">
                  <c:v>0.35</c:v>
                </c:pt>
                <c:pt idx="4">
                  <c:v>0.3</c:v>
                </c:pt>
                <c:pt idx="5">
                  <c:v>0.25</c:v>
                </c:pt>
                <c:pt idx="6">
                  <c:v>0.2</c:v>
                </c:pt>
                <c:pt idx="7">
                  <c:v>0.15</c:v>
                </c:pt>
                <c:pt idx="8">
                  <c:v>0.1</c:v>
                </c:pt>
                <c:pt idx="9">
                  <c:v>0.05</c:v>
                </c:pt>
                <c:pt idx="10">
                  <c:v>0</c:v>
                </c:pt>
              </c:numCache>
            </c:numRef>
          </c:xVal>
          <c:yVal>
            <c:numRef>
              <c:f>fotoelektryczny!$L$4:$L$14</c:f>
              <c:numCache>
                <c:formatCode>General</c:formatCode>
                <c:ptCount val="11"/>
                <c:pt idx="0">
                  <c:v>0</c:v>
                </c:pt>
                <c:pt idx="1">
                  <c:v>80</c:v>
                </c:pt>
                <c:pt idx="2">
                  <c:v>190</c:v>
                </c:pt>
                <c:pt idx="3">
                  <c:v>360</c:v>
                </c:pt>
                <c:pt idx="4">
                  <c:v>590</c:v>
                </c:pt>
                <c:pt idx="5">
                  <c:v>880</c:v>
                </c:pt>
                <c:pt idx="6">
                  <c:v>1220</c:v>
                </c:pt>
                <c:pt idx="7">
                  <c:v>1600</c:v>
                </c:pt>
                <c:pt idx="8">
                  <c:v>2010</c:v>
                </c:pt>
                <c:pt idx="9">
                  <c:v>2440</c:v>
                </c:pt>
                <c:pt idx="10">
                  <c:v>2870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0F-489D-B418-58766DA5DAED}"/>
            </c:ext>
          </c:extLst>
        </c:ser>
        <c:ser>
          <c:idx val="5"/>
          <c:order val="3"/>
          <c:tx>
            <c:strRef>
              <c:f>fotoelektryczny!$N$2</c:f>
              <c:strCache>
                <c:ptCount val="1"/>
                <c:pt idx="0">
                  <c:v>Fioletowy 457 nm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fotoelektryczny!$O$4:$O$14</c:f>
              <c:numCache>
                <c:formatCode>0.000</c:formatCode>
                <c:ptCount val="11"/>
                <c:pt idx="0">
                  <c:v>0.69099999999999995</c:v>
                </c:pt>
                <c:pt idx="1">
                  <c:v>0.62</c:v>
                </c:pt>
                <c:pt idx="2">
                  <c:v>0.55000000000000004</c:v>
                </c:pt>
                <c:pt idx="3">
                  <c:v>0.48</c:v>
                </c:pt>
                <c:pt idx="4">
                  <c:v>0.41</c:v>
                </c:pt>
                <c:pt idx="5">
                  <c:v>0.34</c:v>
                </c:pt>
                <c:pt idx="6">
                  <c:v>0.27</c:v>
                </c:pt>
                <c:pt idx="7">
                  <c:v>0.2</c:v>
                </c:pt>
                <c:pt idx="8">
                  <c:v>0.13</c:v>
                </c:pt>
                <c:pt idx="9">
                  <c:v>0.06</c:v>
                </c:pt>
                <c:pt idx="10">
                  <c:v>0</c:v>
                </c:pt>
              </c:numCache>
            </c:numRef>
          </c:xVal>
          <c:yVal>
            <c:numRef>
              <c:f>fotoelektryczny!$N$4:$N$14</c:f>
              <c:numCache>
                <c:formatCode>General</c:formatCode>
                <c:ptCount val="11"/>
                <c:pt idx="0">
                  <c:v>0</c:v>
                </c:pt>
                <c:pt idx="1">
                  <c:v>170</c:v>
                </c:pt>
                <c:pt idx="2">
                  <c:v>430</c:v>
                </c:pt>
                <c:pt idx="3">
                  <c:v>780</c:v>
                </c:pt>
                <c:pt idx="4">
                  <c:v>1250</c:v>
                </c:pt>
                <c:pt idx="5">
                  <c:v>1810</c:v>
                </c:pt>
                <c:pt idx="6">
                  <c:v>2450</c:v>
                </c:pt>
                <c:pt idx="7">
                  <c:v>3000</c:v>
                </c:pt>
                <c:pt idx="8">
                  <c:v>3910</c:v>
                </c:pt>
                <c:pt idx="9">
                  <c:v>4670</c:v>
                </c:pt>
                <c:pt idx="10">
                  <c:v>5330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0F-489D-B418-58766DA5D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40704"/>
        <c:axId val="102588000"/>
      </c:scatterChart>
      <c:valAx>
        <c:axId val="170640704"/>
        <c:scaling>
          <c:orientation val="minMax"/>
          <c:max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Napięcie hamowania U_h</a:t>
                </a:r>
                <a:r>
                  <a:rPr lang="pl-PL" b="1" baseline="0"/>
                  <a:t> [V]</a:t>
                </a:r>
                <a:endParaRPr lang="pl-PL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02588000"/>
        <c:crosses val="autoZero"/>
        <c:crossBetween val="midCat"/>
        <c:majorUnit val="5.000000000000001E-2"/>
      </c:valAx>
      <c:valAx>
        <c:axId val="10258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Prąd I [nA]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70640704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75199584426939"/>
          <c:y val="0.17011221032853599"/>
          <c:w val="0.16883133748906387"/>
          <c:h val="0.63614159486361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15</xdr:row>
      <xdr:rowOff>23812</xdr:rowOff>
    </xdr:from>
    <xdr:to>
      <xdr:col>5</xdr:col>
      <xdr:colOff>1400175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2298F-597F-76C0-5A12-92F22A0A7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15</xdr:row>
      <xdr:rowOff>109536</xdr:rowOff>
    </xdr:from>
    <xdr:to>
      <xdr:col>15</xdr:col>
      <xdr:colOff>9525</xdr:colOff>
      <xdr:row>32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0D68A-0011-9ECD-C213-1FA95F667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0"/>
  <sheetViews>
    <sheetView tabSelected="1" topLeftCell="B16" workbookViewId="0">
      <selection activeCell="F38" sqref="F38"/>
    </sheetView>
  </sheetViews>
  <sheetFormatPr defaultRowHeight="15" x14ac:dyDescent="0.25"/>
  <cols>
    <col min="2" max="6" width="21.7109375" customWidth="1"/>
    <col min="7" max="7" width="11" bestFit="1" customWidth="1"/>
    <col min="8" max="15" width="13.7109375" customWidth="1"/>
  </cols>
  <sheetData>
    <row r="2" spans="2:15" x14ac:dyDescent="0.25">
      <c r="B2" s="2" t="s">
        <v>0</v>
      </c>
      <c r="C2" s="2" t="s">
        <v>1</v>
      </c>
      <c r="D2" s="2" t="s">
        <v>9</v>
      </c>
      <c r="E2" s="2" t="s">
        <v>2</v>
      </c>
      <c r="F2" s="2" t="s">
        <v>3</v>
      </c>
      <c r="H2" s="7" t="s">
        <v>11</v>
      </c>
      <c r="I2" s="7"/>
      <c r="J2" s="7" t="s">
        <v>12</v>
      </c>
      <c r="K2" s="7"/>
      <c r="L2" s="7" t="s">
        <v>13</v>
      </c>
      <c r="M2" s="7"/>
      <c r="N2" s="7" t="s">
        <v>14</v>
      </c>
      <c r="O2" s="7"/>
    </row>
    <row r="3" spans="2:15" x14ac:dyDescent="0.25">
      <c r="B3" s="7" t="s">
        <v>4</v>
      </c>
      <c r="C3" s="11">
        <v>476</v>
      </c>
      <c r="D3" s="1">
        <v>220</v>
      </c>
      <c r="E3" s="10">
        <v>0.22500000000000001</v>
      </c>
      <c r="F3" s="3">
        <v>0.22500000000000001</v>
      </c>
      <c r="H3" s="2" t="s">
        <v>8</v>
      </c>
      <c r="I3" s="2" t="s">
        <v>10</v>
      </c>
      <c r="J3" s="2" t="s">
        <v>8</v>
      </c>
      <c r="K3" s="2" t="s">
        <v>10</v>
      </c>
      <c r="L3" s="2" t="s">
        <v>8</v>
      </c>
      <c r="M3" s="2" t="s">
        <v>10</v>
      </c>
      <c r="N3" s="2" t="s">
        <v>8</v>
      </c>
      <c r="O3" s="2" t="s">
        <v>10</v>
      </c>
    </row>
    <row r="4" spans="2:15" x14ac:dyDescent="0.25">
      <c r="B4" s="7"/>
      <c r="C4" s="12"/>
      <c r="D4" s="1">
        <v>240</v>
      </c>
      <c r="E4" s="10">
        <v>0.223</v>
      </c>
      <c r="F4" s="4"/>
      <c r="H4" s="1">
        <v>0</v>
      </c>
      <c r="I4" s="10">
        <v>0.22500000000000001</v>
      </c>
      <c r="J4" s="1">
        <v>0</v>
      </c>
      <c r="K4" s="10">
        <v>0.33100000000000002</v>
      </c>
      <c r="L4" s="1">
        <v>0</v>
      </c>
      <c r="M4" s="10">
        <v>0.5</v>
      </c>
      <c r="N4" s="1">
        <v>0</v>
      </c>
      <c r="O4" s="10">
        <v>0.69099999999999995</v>
      </c>
    </row>
    <row r="5" spans="2:15" x14ac:dyDescent="0.25">
      <c r="B5" s="1">
        <v>630</v>
      </c>
      <c r="C5" s="13"/>
      <c r="D5" s="1">
        <v>230</v>
      </c>
      <c r="E5" s="10">
        <v>0.22700000000000001</v>
      </c>
      <c r="F5" s="5"/>
      <c r="H5" s="1">
        <v>10</v>
      </c>
      <c r="I5" s="10">
        <v>0.2</v>
      </c>
      <c r="J5" s="1">
        <v>10</v>
      </c>
      <c r="K5" s="10">
        <v>0.3</v>
      </c>
      <c r="L5" s="1">
        <v>80</v>
      </c>
      <c r="M5" s="10">
        <v>0.45</v>
      </c>
      <c r="N5" s="1">
        <v>170</v>
      </c>
      <c r="O5" s="10">
        <v>0.62</v>
      </c>
    </row>
    <row r="6" spans="2:15" x14ac:dyDescent="0.25">
      <c r="B6" s="7" t="s">
        <v>5</v>
      </c>
      <c r="C6" s="11">
        <v>506</v>
      </c>
      <c r="D6" s="1">
        <v>710</v>
      </c>
      <c r="E6" s="10">
        <v>0.32600000000000001</v>
      </c>
      <c r="F6" s="3">
        <v>0.32900000000000001</v>
      </c>
      <c r="H6" s="1">
        <v>20</v>
      </c>
      <c r="I6" s="10">
        <v>0.18</v>
      </c>
      <c r="J6" s="1">
        <v>30</v>
      </c>
      <c r="K6" s="10">
        <v>0.27</v>
      </c>
      <c r="L6" s="1">
        <v>190</v>
      </c>
      <c r="M6" s="10">
        <v>0.4</v>
      </c>
      <c r="N6" s="1">
        <v>430</v>
      </c>
      <c r="O6" s="10">
        <v>0.55000000000000004</v>
      </c>
    </row>
    <row r="7" spans="2:15" x14ac:dyDescent="0.25">
      <c r="B7" s="7"/>
      <c r="C7" s="12"/>
      <c r="D7" s="1">
        <v>690</v>
      </c>
      <c r="E7" s="10">
        <v>0.33100000000000002</v>
      </c>
      <c r="F7" s="4"/>
      <c r="H7" s="1">
        <v>40</v>
      </c>
      <c r="I7" s="10">
        <v>0.16</v>
      </c>
      <c r="J7" s="1">
        <v>60</v>
      </c>
      <c r="K7" s="10">
        <v>0.24</v>
      </c>
      <c r="L7" s="1">
        <v>360</v>
      </c>
      <c r="M7" s="10">
        <v>0.35</v>
      </c>
      <c r="N7" s="1">
        <v>780</v>
      </c>
      <c r="O7" s="10">
        <v>0.48</v>
      </c>
    </row>
    <row r="8" spans="2:15" x14ac:dyDescent="0.25">
      <c r="B8" s="1">
        <v>593</v>
      </c>
      <c r="C8" s="13"/>
      <c r="D8" s="1">
        <v>700</v>
      </c>
      <c r="E8" s="10">
        <v>0.33</v>
      </c>
      <c r="F8" s="5"/>
      <c r="H8" s="1">
        <v>50</v>
      </c>
      <c r="I8" s="10">
        <v>0.14000000000000001</v>
      </c>
      <c r="J8" s="1">
        <v>90</v>
      </c>
      <c r="K8" s="10">
        <v>0.21</v>
      </c>
      <c r="L8" s="1">
        <v>590</v>
      </c>
      <c r="M8" s="10">
        <v>0.3</v>
      </c>
      <c r="N8" s="1">
        <v>1250</v>
      </c>
      <c r="O8" s="10">
        <v>0.41</v>
      </c>
    </row>
    <row r="9" spans="2:15" x14ac:dyDescent="0.25">
      <c r="B9" s="7" t="s">
        <v>6</v>
      </c>
      <c r="C9" s="11">
        <v>574</v>
      </c>
      <c r="D9" s="1">
        <v>2870</v>
      </c>
      <c r="E9" s="10">
        <v>0.499</v>
      </c>
      <c r="F9" s="3">
        <v>0.5</v>
      </c>
      <c r="H9" s="1">
        <v>70</v>
      </c>
      <c r="I9" s="10">
        <v>0.12</v>
      </c>
      <c r="J9" s="1">
        <v>140</v>
      </c>
      <c r="K9" s="10">
        <v>0.18</v>
      </c>
      <c r="L9" s="1">
        <v>880</v>
      </c>
      <c r="M9" s="10">
        <v>0.25</v>
      </c>
      <c r="N9" s="1">
        <v>1810</v>
      </c>
      <c r="O9" s="10">
        <v>0.34</v>
      </c>
    </row>
    <row r="10" spans="2:15" x14ac:dyDescent="0.25">
      <c r="B10" s="7"/>
      <c r="C10" s="12"/>
      <c r="D10" s="1">
        <v>2870</v>
      </c>
      <c r="E10" s="10">
        <v>0.502</v>
      </c>
      <c r="F10" s="4"/>
      <c r="H10" s="1">
        <v>90</v>
      </c>
      <c r="I10" s="10">
        <v>0.1</v>
      </c>
      <c r="J10" s="1">
        <v>200</v>
      </c>
      <c r="K10" s="10">
        <v>0.15</v>
      </c>
      <c r="L10" s="1">
        <v>1220</v>
      </c>
      <c r="M10" s="10">
        <v>0.2</v>
      </c>
      <c r="N10" s="1">
        <v>2450</v>
      </c>
      <c r="O10" s="10">
        <v>0.27</v>
      </c>
    </row>
    <row r="11" spans="2:15" x14ac:dyDescent="0.25">
      <c r="B11" s="1">
        <v>522</v>
      </c>
      <c r="C11" s="13"/>
      <c r="D11" s="1">
        <v>2870</v>
      </c>
      <c r="E11" s="10">
        <v>0.5</v>
      </c>
      <c r="F11" s="5"/>
      <c r="H11" s="1">
        <v>100</v>
      </c>
      <c r="I11" s="10">
        <v>0.08</v>
      </c>
      <c r="J11" s="1">
        <v>270</v>
      </c>
      <c r="K11" s="10">
        <v>0.12</v>
      </c>
      <c r="L11" s="1">
        <v>1600</v>
      </c>
      <c r="M11" s="10">
        <v>0.15</v>
      </c>
      <c r="N11" s="1">
        <v>3000</v>
      </c>
      <c r="O11" s="10">
        <v>0.2</v>
      </c>
    </row>
    <row r="12" spans="2:15" x14ac:dyDescent="0.25">
      <c r="B12" s="7" t="s">
        <v>7</v>
      </c>
      <c r="C12" s="11">
        <v>656</v>
      </c>
      <c r="D12" s="1">
        <v>5330</v>
      </c>
      <c r="E12" s="10">
        <v>0.69</v>
      </c>
      <c r="F12" s="3">
        <v>0.69</v>
      </c>
      <c r="H12" s="1">
        <v>140</v>
      </c>
      <c r="I12" s="10">
        <v>0.06</v>
      </c>
      <c r="J12" s="1">
        <v>350</v>
      </c>
      <c r="K12" s="10">
        <v>0.09</v>
      </c>
      <c r="L12" s="1">
        <v>2010</v>
      </c>
      <c r="M12" s="10">
        <v>0.1</v>
      </c>
      <c r="N12" s="1">
        <v>3910</v>
      </c>
      <c r="O12" s="10">
        <v>0.13</v>
      </c>
    </row>
    <row r="13" spans="2:15" x14ac:dyDescent="0.25">
      <c r="B13" s="7"/>
      <c r="C13" s="12"/>
      <c r="D13" s="1">
        <v>5320</v>
      </c>
      <c r="E13" s="10">
        <v>0.68899999999999995</v>
      </c>
      <c r="F13" s="4"/>
      <c r="H13" s="1">
        <v>170</v>
      </c>
      <c r="I13" s="10">
        <v>0.04</v>
      </c>
      <c r="J13" s="1">
        <v>390</v>
      </c>
      <c r="K13" s="10">
        <v>0.06</v>
      </c>
      <c r="L13" s="1">
        <v>2440</v>
      </c>
      <c r="M13" s="10">
        <v>0.05</v>
      </c>
      <c r="N13" s="1">
        <v>4670</v>
      </c>
      <c r="O13" s="10">
        <v>0.06</v>
      </c>
    </row>
    <row r="14" spans="2:15" x14ac:dyDescent="0.25">
      <c r="B14" s="1">
        <v>457</v>
      </c>
      <c r="C14" s="13"/>
      <c r="D14" s="1">
        <v>5330</v>
      </c>
      <c r="E14" s="10">
        <v>0.69099999999999995</v>
      </c>
      <c r="F14" s="5"/>
      <c r="H14" s="1">
        <v>220</v>
      </c>
      <c r="I14" s="10">
        <v>0.02</v>
      </c>
      <c r="J14" s="1">
        <v>580</v>
      </c>
      <c r="K14" s="10">
        <v>0.03</v>
      </c>
      <c r="L14" s="1">
        <v>2870</v>
      </c>
      <c r="M14" s="10">
        <v>0</v>
      </c>
      <c r="N14" s="1">
        <v>5330</v>
      </c>
      <c r="O14" s="10">
        <v>0</v>
      </c>
    </row>
    <row r="15" spans="2:15" x14ac:dyDescent="0.25">
      <c r="H15" s="1">
        <v>260</v>
      </c>
      <c r="I15" s="10">
        <v>0</v>
      </c>
      <c r="J15" s="1">
        <v>700</v>
      </c>
      <c r="K15" s="10">
        <v>0</v>
      </c>
      <c r="L15" s="6"/>
      <c r="M15" s="6"/>
      <c r="N15" s="6"/>
      <c r="O15" s="6"/>
    </row>
    <row r="35" spans="2:7" x14ac:dyDescent="0.25">
      <c r="B35" s="2" t="s">
        <v>1</v>
      </c>
      <c r="C35" s="2" t="s">
        <v>3</v>
      </c>
      <c r="D35" s="14" t="s">
        <v>15</v>
      </c>
      <c r="E35" s="14" t="s">
        <v>16</v>
      </c>
      <c r="F35" s="14" t="s">
        <v>17</v>
      </c>
    </row>
    <row r="36" spans="2:7" x14ac:dyDescent="0.25">
      <c r="B36" s="8">
        <f>C3</f>
        <v>476</v>
      </c>
      <c r="C36" s="9">
        <f>F3</f>
        <v>0.22500000000000001</v>
      </c>
      <c r="D36" s="15" cm="1">
        <f t="array" ref="D36:E40">LINEST(C36:C39,B36:B39,,TRUE)</f>
        <v>2.5423181154888468E-3</v>
      </c>
      <c r="E36" s="15">
        <v>-0.96990191786533231</v>
      </c>
      <c r="F36" s="16">
        <f>1.6022*10^(-19)</f>
        <v>1.6022000000000001E-19</v>
      </c>
      <c r="G36" s="16"/>
    </row>
    <row r="37" spans="2:7" x14ac:dyDescent="0.25">
      <c r="B37" s="8">
        <f>C6</f>
        <v>506</v>
      </c>
      <c r="C37" s="9">
        <f>F6</f>
        <v>0.32900000000000001</v>
      </c>
      <c r="D37" s="15">
        <v>1.2108338624438671E-4</v>
      </c>
      <c r="E37" s="15">
        <v>6.7482238185610485E-2</v>
      </c>
      <c r="F37" s="16">
        <f>D$36*10^(-12)*$F$36</f>
        <v>4.0733020846362307E-34</v>
      </c>
      <c r="G37" s="16">
        <f>E$36*$F$36</f>
        <v>-1.5539768528038356E-19</v>
      </c>
    </row>
    <row r="38" spans="2:7" x14ac:dyDescent="0.25">
      <c r="B38" s="8">
        <f>C9</f>
        <v>574</v>
      </c>
      <c r="C38" s="9">
        <f>F9</f>
        <v>0.5</v>
      </c>
      <c r="D38" s="15">
        <v>0.99548379629301942</v>
      </c>
      <c r="E38" s="15">
        <v>1.6772562270313023E-2</v>
      </c>
      <c r="F38" s="16">
        <f>D$37*10^(-12)*$F$36</f>
        <v>1.9399980144075638E-35</v>
      </c>
      <c r="G38" s="16">
        <f>E$37*$F$36</f>
        <v>1.0812004202098512E-20</v>
      </c>
    </row>
    <row r="39" spans="2:7" x14ac:dyDescent="0.25">
      <c r="B39" s="8">
        <f>C12</f>
        <v>656</v>
      </c>
      <c r="C39" s="9">
        <f>F12</f>
        <v>0.69</v>
      </c>
      <c r="D39" s="15">
        <v>440.8498202834931</v>
      </c>
      <c r="E39" s="15">
        <v>2</v>
      </c>
    </row>
    <row r="40" spans="2:7" x14ac:dyDescent="0.25">
      <c r="D40" s="15">
        <v>0.12401936230977692</v>
      </c>
      <c r="E40" s="15">
        <v>5.6263769022305585E-4</v>
      </c>
    </row>
  </sheetData>
  <mergeCells count="16">
    <mergeCell ref="J2:K2"/>
    <mergeCell ref="L2:M2"/>
    <mergeCell ref="N2:O2"/>
    <mergeCell ref="B3:B4"/>
    <mergeCell ref="B6:B7"/>
    <mergeCell ref="B9:B10"/>
    <mergeCell ref="B12:B13"/>
    <mergeCell ref="H2:I2"/>
    <mergeCell ref="F3:F5"/>
    <mergeCell ref="F6:F8"/>
    <mergeCell ref="F9:F11"/>
    <mergeCell ref="F12:F14"/>
    <mergeCell ref="C3:C5"/>
    <mergeCell ref="C6:C8"/>
    <mergeCell ref="C9:C11"/>
    <mergeCell ref="C12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fotoelektryczny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2015-06-05T18:17:20Z</dcterms:created>
  <dcterms:modified xsi:type="dcterms:W3CDTF">2023-11-07T12:01:48Z</dcterms:modified>
</cp:coreProperties>
</file>