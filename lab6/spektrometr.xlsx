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robert\Desktop\Fizyka\lab6\"/>
    </mc:Choice>
  </mc:AlternateContent>
  <xr:revisionPtr revIDLastSave="0" documentId="13_ncr:1_{4E8D8351-5236-49D4-B0C5-2F628B95DE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2" i="1"/>
  <c r="K17" i="1"/>
  <c r="K18" i="1"/>
  <c r="K16" i="1"/>
  <c r="M16" i="1"/>
  <c r="L13" i="1"/>
  <c r="L12" i="1"/>
  <c r="L11" i="1"/>
  <c r="L10" i="1"/>
  <c r="M4" i="1"/>
  <c r="K3" i="1"/>
  <c r="K4" i="1"/>
  <c r="K5" i="1"/>
  <c r="K6" i="1"/>
  <c r="K7" i="1"/>
  <c r="K8" i="1"/>
  <c r="K2" i="1"/>
  <c r="I3" i="1"/>
  <c r="J3" i="1"/>
  <c r="L3" i="1" s="1"/>
  <c r="N3" i="1" s="1"/>
  <c r="I4" i="1"/>
  <c r="J4" i="1"/>
  <c r="L4" i="1" s="1"/>
  <c r="I5" i="1"/>
  <c r="I6" i="1"/>
  <c r="I7" i="1"/>
  <c r="I8" i="1"/>
  <c r="I2" i="1"/>
  <c r="F4" i="1"/>
  <c r="F5" i="1"/>
  <c r="F6" i="1"/>
  <c r="J5" i="1" s="1"/>
  <c r="L5" i="1" s="1"/>
  <c r="N5" i="1" s="1"/>
  <c r="F7" i="1"/>
  <c r="J6" i="1" s="1"/>
  <c r="L6" i="1" s="1"/>
  <c r="N6" i="1" s="1"/>
  <c r="F8" i="1"/>
  <c r="J7" i="1" s="1"/>
  <c r="L7" i="1" s="1"/>
  <c r="N7" i="1" s="1"/>
  <c r="F9" i="1"/>
  <c r="J8" i="1" s="1"/>
  <c r="L8" i="1" s="1"/>
  <c r="N8" i="1" s="1"/>
  <c r="F10" i="1"/>
  <c r="F11" i="1"/>
  <c r="F12" i="1"/>
  <c r="F13" i="1"/>
  <c r="F14" i="1"/>
  <c r="F15" i="1"/>
  <c r="F16" i="1"/>
  <c r="F2" i="1"/>
  <c r="F3" i="1"/>
  <c r="J2" i="1" s="1"/>
  <c r="L2" i="1" s="1"/>
  <c r="N2" i="1" s="1"/>
  <c r="N4" i="1" l="1"/>
</calcChain>
</file>

<file path=xl/sharedStrings.xml><?xml version="1.0" encoding="utf-8"?>
<sst xmlns="http://schemas.openxmlformats.org/spreadsheetml/2006/main" count="54" uniqueCount="25">
  <si>
    <t>Strona</t>
  </si>
  <si>
    <t>Rząd</t>
  </si>
  <si>
    <t>Kolor</t>
  </si>
  <si>
    <t>Środek</t>
  </si>
  <si>
    <t>Prawa</t>
  </si>
  <si>
    <t>Lewa</t>
  </si>
  <si>
    <t>biały</t>
  </si>
  <si>
    <t>fioletowy</t>
  </si>
  <si>
    <t>zielony</t>
  </si>
  <si>
    <t>pomarańczowy</t>
  </si>
  <si>
    <t>Odchylenie [°]</t>
  </si>
  <si>
    <t>Stopnie [°]</t>
  </si>
  <si>
    <t>Minuty [']</t>
  </si>
  <si>
    <t>Lp.</t>
  </si>
  <si>
    <t>Śr. odchylenie [°]</t>
  </si>
  <si>
    <t>Dł. Fali [nm]</t>
  </si>
  <si>
    <t>Przewidywana dł. Fali [nm]</t>
  </si>
  <si>
    <t>Różnica [nm]</t>
  </si>
  <si>
    <t>d [nm]</t>
  </si>
  <si>
    <t>Długość fali [nm]</t>
  </si>
  <si>
    <t>\Delta E [eV]</t>
  </si>
  <si>
    <t>Przejście</t>
  </si>
  <si>
    <t>h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</si>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</sst>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164" fontId="0" fillId="2" borderId="1" xfId="0" applyNumberFormat="1" applyFill="1" applyBorder="1"/>
    <xf numFmtId="2" fontId="0" fillId="2" borderId="1" xfId="0" applyNumberFormat="1" applyFill="1" applyBorder="1"/>
    <xf numFmtId="2" fontId="0" fillId="0" borderId="0" xfId="0" applyNumberFormat="1"/>
    <xf numFmtId="2" fontId="0" fillId="2" borderId="0" xfId="0" applyNumberFormat="1" applyFill="1"/>
    <xf numFmtId="0" fontId="1" fillId="2" borderId="2" xfId="0" applyFont="1" applyFill="1" applyBorder="1"/>
    <xf numFmtId="11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topLeftCell="F1" workbookViewId="0">
      <selection activeCell="O2" sqref="O2"/>
    </sheetView>
  </sheetViews>
  <sheetFormatPr defaultRowHeight="15" x14ac:dyDescent="0.25"/>
  <cols>
    <col min="1" max="1" width="7.140625" bestFit="1" customWidth="1"/>
    <col min="2" max="2" width="5.140625" bestFit="1" customWidth="1"/>
    <col min="3" max="3" width="10.42578125" bestFit="1" customWidth="1"/>
    <col min="4" max="4" width="9.85546875" bestFit="1" customWidth="1"/>
    <col min="5" max="5" width="14.42578125" bestFit="1" customWidth="1"/>
    <col min="6" max="6" width="13.85546875" bestFit="1" customWidth="1"/>
    <col min="8" max="8" width="3.5703125" bestFit="1" customWidth="1"/>
    <col min="9" max="9" width="5.140625" bestFit="1" customWidth="1"/>
    <col min="10" max="10" width="25.28515625" bestFit="1" customWidth="1"/>
    <col min="11" max="11" width="14.42578125" bestFit="1" customWidth="1"/>
    <col min="12" max="12" width="11.7109375" bestFit="1" customWidth="1"/>
    <col min="13" max="13" width="25.28515625" bestFit="1" customWidth="1"/>
    <col min="14" max="14" width="12.42578125" bestFit="1" customWidth="1"/>
  </cols>
  <sheetData>
    <row r="1" spans="1:16" x14ac:dyDescent="0.25">
      <c r="A1" s="2" t="s">
        <v>0</v>
      </c>
      <c r="B1" s="2" t="s">
        <v>1</v>
      </c>
      <c r="C1" s="2" t="s">
        <v>11</v>
      </c>
      <c r="D1" s="2" t="s">
        <v>12</v>
      </c>
      <c r="E1" s="2" t="s">
        <v>2</v>
      </c>
      <c r="F1" s="2" t="s">
        <v>10</v>
      </c>
      <c r="H1" s="2" t="s">
        <v>13</v>
      </c>
      <c r="I1" s="2" t="s">
        <v>1</v>
      </c>
      <c r="J1" s="2" t="s">
        <v>14</v>
      </c>
      <c r="K1" s="2" t="s">
        <v>2</v>
      </c>
      <c r="L1" s="2" t="s">
        <v>15</v>
      </c>
      <c r="M1" s="2" t="s">
        <v>16</v>
      </c>
      <c r="N1" s="2" t="s">
        <v>17</v>
      </c>
      <c r="P1" s="2" t="s">
        <v>18</v>
      </c>
    </row>
    <row r="2" spans="1:16" x14ac:dyDescent="0.25">
      <c r="A2" s="1" t="s">
        <v>3</v>
      </c>
      <c r="B2" s="1">
        <v>0</v>
      </c>
      <c r="C2" s="1">
        <v>0</v>
      </c>
      <c r="D2" s="1">
        <v>0</v>
      </c>
      <c r="E2" s="1" t="s">
        <v>6</v>
      </c>
      <c r="F2" s="1">
        <f>IF((C2+D2/60)&gt;=180,360-(C2+D2/60),C2+D2/60)</f>
        <v>0</v>
      </c>
      <c r="H2" s="1">
        <v>1</v>
      </c>
      <c r="I2" s="1">
        <f>B3</f>
        <v>1</v>
      </c>
      <c r="J2" s="4">
        <f>AVERAGE(F3,F10)</f>
        <v>14.48333333333332</v>
      </c>
      <c r="K2" s="4" t="str">
        <f>E3</f>
        <v>fioletowy</v>
      </c>
      <c r="L2" s="4">
        <f>$P$2*SIN(RADIANS(J2))/I2</f>
        <v>438.67254226481975</v>
      </c>
      <c r="M2" s="4">
        <v>434.8</v>
      </c>
      <c r="N2" s="4">
        <f>ABS(M2-L2)</f>
        <v>3.8725422648197423</v>
      </c>
      <c r="O2" s="9">
        <f>N2/M2</f>
        <v>8.9064909494474299E-3</v>
      </c>
      <c r="P2" s="1">
        <v>1754</v>
      </c>
    </row>
    <row r="3" spans="1:16" x14ac:dyDescent="0.25">
      <c r="A3" s="1" t="s">
        <v>4</v>
      </c>
      <c r="B3" s="1">
        <v>1</v>
      </c>
      <c r="C3" s="1">
        <v>345</v>
      </c>
      <c r="D3" s="1">
        <v>32</v>
      </c>
      <c r="E3" s="1" t="s">
        <v>7</v>
      </c>
      <c r="F3" s="4">
        <f>IF((C3+D3/60)&gt;=180,360-(C3+D3/60),C3+D3/60)</f>
        <v>14.46666666666664</v>
      </c>
      <c r="H3" s="1">
        <v>2</v>
      </c>
      <c r="I3" s="1">
        <f t="shared" ref="I3:I8" si="0">B4</f>
        <v>1</v>
      </c>
      <c r="J3" s="4">
        <f t="shared" ref="J3:J8" si="1">AVERAGE(F4,F11)</f>
        <v>18.19166666666667</v>
      </c>
      <c r="K3" s="4" t="str">
        <f t="shared" ref="K3:K8" si="2">E4</f>
        <v>zielony</v>
      </c>
      <c r="L3" s="4">
        <f t="shared" ref="L3:L8" si="3">$P$2*SIN(RADIANS(J3))/I3</f>
        <v>547.5930948957149</v>
      </c>
      <c r="M3" s="4">
        <v>546.07000000000005</v>
      </c>
      <c r="N3" s="4">
        <f t="shared" ref="N3:N8" si="4">ABS(M3-L3)</f>
        <v>1.5230948957148485</v>
      </c>
      <c r="O3" s="9">
        <f t="shared" ref="O3:O8" si="5">N3/M3</f>
        <v>2.7891935021423049E-3</v>
      </c>
    </row>
    <row r="4" spans="1:16" x14ac:dyDescent="0.25">
      <c r="A4" s="1" t="s">
        <v>4</v>
      </c>
      <c r="B4" s="1">
        <v>1</v>
      </c>
      <c r="C4" s="1">
        <v>341</v>
      </c>
      <c r="D4" s="1">
        <v>49</v>
      </c>
      <c r="E4" s="1" t="s">
        <v>8</v>
      </c>
      <c r="F4" s="4">
        <f t="shared" ref="F4:F16" si="6">IF((C4+D4/60)&gt;=180,360-(C4+D4/60),C4+D4/60)</f>
        <v>18.183333333333337</v>
      </c>
      <c r="H4" s="1">
        <v>3</v>
      </c>
      <c r="I4" s="1">
        <f t="shared" si="0"/>
        <v>1</v>
      </c>
      <c r="J4" s="4">
        <f t="shared" si="1"/>
        <v>19.274999999999999</v>
      </c>
      <c r="K4" s="4" t="str">
        <f t="shared" si="2"/>
        <v>pomarańczowy</v>
      </c>
      <c r="L4" s="4">
        <f t="shared" si="3"/>
        <v>578.99987342166253</v>
      </c>
      <c r="M4" s="4">
        <f>AVERAGE($M$7:$M$8)</f>
        <v>578.0150000000001</v>
      </c>
      <c r="N4" s="4">
        <f t="shared" si="4"/>
        <v>0.98487342166242797</v>
      </c>
      <c r="O4" s="9">
        <f t="shared" si="5"/>
        <v>1.7038890368977066E-3</v>
      </c>
    </row>
    <row r="5" spans="1:16" x14ac:dyDescent="0.25">
      <c r="A5" s="1" t="s">
        <v>4</v>
      </c>
      <c r="B5" s="1">
        <v>1</v>
      </c>
      <c r="C5" s="1">
        <v>340</v>
      </c>
      <c r="D5" s="1">
        <v>45</v>
      </c>
      <c r="E5" s="1" t="s">
        <v>9</v>
      </c>
      <c r="F5" s="4">
        <f t="shared" si="6"/>
        <v>19.25</v>
      </c>
      <c r="H5" s="1">
        <v>4</v>
      </c>
      <c r="I5" s="1">
        <f t="shared" si="0"/>
        <v>2</v>
      </c>
      <c r="J5" s="4">
        <f t="shared" si="1"/>
        <v>29.916666666666664</v>
      </c>
      <c r="K5" s="4" t="str">
        <f t="shared" si="2"/>
        <v>fioletowy</v>
      </c>
      <c r="L5" s="4">
        <f t="shared" si="3"/>
        <v>437.39488239223579</v>
      </c>
      <c r="M5" s="4">
        <v>434.8</v>
      </c>
      <c r="N5" s="4">
        <f t="shared" si="4"/>
        <v>2.5948823922357747</v>
      </c>
      <c r="O5" s="9">
        <f t="shared" si="5"/>
        <v>5.9679907825109808E-3</v>
      </c>
    </row>
    <row r="6" spans="1:16" x14ac:dyDescent="0.25">
      <c r="A6" s="1" t="s">
        <v>4</v>
      </c>
      <c r="B6" s="1">
        <v>2</v>
      </c>
      <c r="C6" s="1">
        <v>330</v>
      </c>
      <c r="D6" s="1">
        <v>0</v>
      </c>
      <c r="E6" s="1" t="s">
        <v>7</v>
      </c>
      <c r="F6" s="4">
        <f t="shared" si="6"/>
        <v>30</v>
      </c>
      <c r="H6" s="1">
        <v>5</v>
      </c>
      <c r="I6" s="1">
        <f t="shared" si="0"/>
        <v>2</v>
      </c>
      <c r="J6" s="4">
        <f t="shared" si="1"/>
        <v>38.625</v>
      </c>
      <c r="K6" s="4" t="str">
        <f t="shared" si="2"/>
        <v>zielony</v>
      </c>
      <c r="L6" s="4">
        <f t="shared" si="3"/>
        <v>547.44141353178054</v>
      </c>
      <c r="M6" s="4">
        <v>546.07000000000005</v>
      </c>
      <c r="N6" s="4">
        <f t="shared" si="4"/>
        <v>1.3714135317804903</v>
      </c>
      <c r="O6" s="9">
        <f t="shared" si="5"/>
        <v>2.5114244177129124E-3</v>
      </c>
    </row>
    <row r="7" spans="1:16" x14ac:dyDescent="0.25">
      <c r="A7" s="1" t="s">
        <v>4</v>
      </c>
      <c r="B7" s="1">
        <v>2</v>
      </c>
      <c r="C7" s="1">
        <v>321</v>
      </c>
      <c r="D7" s="1">
        <v>15</v>
      </c>
      <c r="E7" s="1" t="s">
        <v>8</v>
      </c>
      <c r="F7" s="4">
        <f t="shared" si="6"/>
        <v>38.75</v>
      </c>
      <c r="H7" s="1">
        <v>6</v>
      </c>
      <c r="I7" s="1">
        <f t="shared" si="0"/>
        <v>2</v>
      </c>
      <c r="J7" s="4">
        <f t="shared" si="1"/>
        <v>41.308333333333337</v>
      </c>
      <c r="K7" s="4" t="str">
        <f t="shared" si="2"/>
        <v>pomarańczowy</v>
      </c>
      <c r="L7" s="4">
        <f t="shared" si="3"/>
        <v>578.91728378472874</v>
      </c>
      <c r="M7" s="4">
        <v>576.96</v>
      </c>
      <c r="N7" s="4">
        <f t="shared" si="4"/>
        <v>1.9572837847287019</v>
      </c>
      <c r="O7" s="9">
        <f t="shared" si="5"/>
        <v>3.3924081127438676E-3</v>
      </c>
    </row>
    <row r="8" spans="1:16" x14ac:dyDescent="0.25">
      <c r="A8" s="1" t="s">
        <v>4</v>
      </c>
      <c r="B8" s="1">
        <v>2</v>
      </c>
      <c r="C8" s="1">
        <v>318</v>
      </c>
      <c r="D8" s="1">
        <v>30</v>
      </c>
      <c r="E8" s="1" t="s">
        <v>9</v>
      </c>
      <c r="F8" s="4">
        <f t="shared" si="6"/>
        <v>41.5</v>
      </c>
      <c r="H8" s="1">
        <v>7</v>
      </c>
      <c r="I8" s="1">
        <f t="shared" si="0"/>
        <v>2</v>
      </c>
      <c r="J8" s="4">
        <f t="shared" si="1"/>
        <v>41.475000000000009</v>
      </c>
      <c r="K8" s="4" t="str">
        <f t="shared" si="2"/>
        <v>pomarańczowy</v>
      </c>
      <c r="L8" s="4">
        <f t="shared" si="3"/>
        <v>580.83112900458332</v>
      </c>
      <c r="M8" s="4">
        <v>579.07000000000005</v>
      </c>
      <c r="N8" s="4">
        <f t="shared" si="4"/>
        <v>1.7611290045832675</v>
      </c>
      <c r="O8" s="9">
        <f t="shared" si="5"/>
        <v>3.0413058949406244E-3</v>
      </c>
    </row>
    <row r="9" spans="1:16" x14ac:dyDescent="0.25">
      <c r="A9" s="1" t="s">
        <v>4</v>
      </c>
      <c r="B9" s="1">
        <v>2</v>
      </c>
      <c r="C9" s="1">
        <v>318</v>
      </c>
      <c r="D9" s="1">
        <v>24</v>
      </c>
      <c r="E9" s="1" t="s">
        <v>9</v>
      </c>
      <c r="F9" s="4">
        <f t="shared" si="6"/>
        <v>41.600000000000023</v>
      </c>
      <c r="J9" s="5"/>
      <c r="K9" s="5"/>
    </row>
    <row r="10" spans="1:16" x14ac:dyDescent="0.25">
      <c r="A10" s="1" t="s">
        <v>5</v>
      </c>
      <c r="B10" s="1">
        <v>1</v>
      </c>
      <c r="C10" s="1">
        <v>14</v>
      </c>
      <c r="D10" s="1">
        <v>30</v>
      </c>
      <c r="E10" s="1" t="s">
        <v>7</v>
      </c>
      <c r="F10" s="4">
        <f t="shared" si="6"/>
        <v>14.5</v>
      </c>
      <c r="J10" s="5"/>
      <c r="K10" s="5"/>
      <c r="L10" s="6">
        <f>ABS(L2-L5)</f>
        <v>1.2776598725839676</v>
      </c>
    </row>
    <row r="11" spans="1:16" x14ac:dyDescent="0.25">
      <c r="A11" s="1" t="s">
        <v>5</v>
      </c>
      <c r="B11" s="1">
        <v>1</v>
      </c>
      <c r="C11" s="1">
        <v>18</v>
      </c>
      <c r="D11" s="1">
        <v>12</v>
      </c>
      <c r="E11" s="1" t="s">
        <v>8</v>
      </c>
      <c r="F11" s="4">
        <f t="shared" si="6"/>
        <v>18.2</v>
      </c>
      <c r="J11" s="5"/>
      <c r="K11" s="5"/>
      <c r="L11" s="6">
        <f t="shared" ref="L11" si="7">ABS(L3-L6)</f>
        <v>0.15168136393435816</v>
      </c>
    </row>
    <row r="12" spans="1:16" x14ac:dyDescent="0.25">
      <c r="A12" s="1" t="s">
        <v>5</v>
      </c>
      <c r="B12" s="1">
        <v>1</v>
      </c>
      <c r="C12" s="1">
        <v>19</v>
      </c>
      <c r="D12" s="1">
        <v>18</v>
      </c>
      <c r="E12" s="1" t="s">
        <v>9</v>
      </c>
      <c r="F12" s="4">
        <f t="shared" si="6"/>
        <v>19.3</v>
      </c>
      <c r="J12" s="5"/>
      <c r="K12" s="5"/>
      <c r="L12" s="6">
        <f>ABS(L4-AVERAGE(L7:L8))</f>
        <v>0.87433297299355672</v>
      </c>
    </row>
    <row r="13" spans="1:16" x14ac:dyDescent="0.25">
      <c r="A13" s="1" t="s">
        <v>5</v>
      </c>
      <c r="B13" s="1">
        <v>2</v>
      </c>
      <c r="C13" s="1">
        <v>29</v>
      </c>
      <c r="D13" s="1">
        <v>50</v>
      </c>
      <c r="E13" s="1" t="s">
        <v>7</v>
      </c>
      <c r="F13" s="4">
        <f t="shared" si="6"/>
        <v>29.833333333333332</v>
      </c>
      <c r="J13" s="5"/>
      <c r="K13" s="5"/>
      <c r="L13" s="5">
        <f>AVERAGE(L10:L12)</f>
        <v>0.76789140317062754</v>
      </c>
    </row>
    <row r="14" spans="1:16" x14ac:dyDescent="0.25">
      <c r="A14" s="1" t="s">
        <v>5</v>
      </c>
      <c r="B14" s="1">
        <v>2</v>
      </c>
      <c r="C14" s="1">
        <v>38</v>
      </c>
      <c r="D14" s="1">
        <v>30</v>
      </c>
      <c r="E14" s="1" t="s">
        <v>8</v>
      </c>
      <c r="F14" s="4">
        <f t="shared" si="6"/>
        <v>38.5</v>
      </c>
      <c r="J14" s="5"/>
      <c r="K14" s="5"/>
    </row>
    <row r="15" spans="1:16" x14ac:dyDescent="0.25">
      <c r="A15" s="1" t="s">
        <v>5</v>
      </c>
      <c r="B15" s="1">
        <v>2</v>
      </c>
      <c r="C15" s="1">
        <v>41</v>
      </c>
      <c r="D15" s="1">
        <v>7</v>
      </c>
      <c r="E15" s="1" t="s">
        <v>9</v>
      </c>
      <c r="F15" s="4">
        <f t="shared" si="6"/>
        <v>41.116666666666667</v>
      </c>
      <c r="H15" s="2" t="s">
        <v>13</v>
      </c>
      <c r="I15" s="2" t="s">
        <v>1</v>
      </c>
      <c r="J15" s="2" t="s">
        <v>19</v>
      </c>
      <c r="K15" s="2" t="s">
        <v>20</v>
      </c>
      <c r="L15" s="2" t="s">
        <v>21</v>
      </c>
      <c r="M15" s="7" t="s">
        <v>22</v>
      </c>
      <c r="N15" s="7" t="s">
        <v>23</v>
      </c>
    </row>
    <row r="16" spans="1:16" x14ac:dyDescent="0.25">
      <c r="A16" s="1" t="s">
        <v>5</v>
      </c>
      <c r="B16" s="1">
        <v>2</v>
      </c>
      <c r="C16" s="1">
        <v>41</v>
      </c>
      <c r="D16" s="1">
        <v>21</v>
      </c>
      <c r="E16" s="1" t="s">
        <v>9</v>
      </c>
      <c r="F16" s="4">
        <f t="shared" si="6"/>
        <v>41.35</v>
      </c>
      <c r="H16" s="1">
        <v>1</v>
      </c>
      <c r="I16" s="1">
        <v>1</v>
      </c>
      <c r="J16" s="4">
        <v>434.8</v>
      </c>
      <c r="K16" s="3">
        <f>$M$16*$N$16/(L2*0.000000001)</f>
        <v>2.8265767442072236</v>
      </c>
      <c r="L16" s="1" t="s">
        <v>24</v>
      </c>
      <c r="M16">
        <f>0.000000000000004136</f>
        <v>4.1360000000000002E-15</v>
      </c>
      <c r="N16" s="8">
        <v>299792458</v>
      </c>
    </row>
    <row r="17" spans="8:12" x14ac:dyDescent="0.25">
      <c r="H17" s="1">
        <v>2</v>
      </c>
      <c r="I17" s="1">
        <v>1</v>
      </c>
      <c r="J17" s="4">
        <v>546.07000000000005</v>
      </c>
      <c r="K17" s="3">
        <f t="shared" ref="K17:K18" si="8">$M$16*$N$16/(L3*0.000000001)</f>
        <v>2.2643485059360322</v>
      </c>
      <c r="L17" s="1" t="s">
        <v>24</v>
      </c>
    </row>
    <row r="18" spans="8:12" x14ac:dyDescent="0.25">
      <c r="H18" s="1">
        <v>3</v>
      </c>
      <c r="I18" s="1">
        <v>1</v>
      </c>
      <c r="J18" s="4">
        <v>578.0150000000001</v>
      </c>
      <c r="K18" s="3">
        <f t="shared" si="8"/>
        <v>2.1415231042460001</v>
      </c>
      <c r="L18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2015-06-05T18:17:20Z</dcterms:created>
  <dcterms:modified xsi:type="dcterms:W3CDTF">2023-11-21T12:53:19Z</dcterms:modified>
</cp:coreProperties>
</file>